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xmlns:r="http://schemas.openxmlformats.org/officeDocument/2006/relationships" name="Introduction" sheetId="1" state="hidden" r:id="rId1"/>
    <sheet xmlns:r="http://schemas.openxmlformats.org/officeDocument/2006/relationships" name="Coefficients" sheetId="2" state="hidden" r:id="rId2"/>
    <sheet xmlns:r="http://schemas.openxmlformats.org/officeDocument/2006/relationships" name="Model LTs" sheetId="3" state="hidden" r:id="rId3"/>
    <sheet xmlns:r="http://schemas.openxmlformats.org/officeDocument/2006/relationships" name="Decrementos Múltiples" sheetId="4" state="visible" r:id="rId4"/>
    <sheet xmlns:r="http://schemas.openxmlformats.org/officeDocument/2006/relationships" name="LT" sheetId="5" state="visible" r:id="rId5"/>
    <sheet xmlns:r="http://schemas.openxmlformats.org/officeDocument/2006/relationships" name="Homicidios" sheetId="6" state="visible" r:id="rId6"/>
    <sheet xmlns:r="http://schemas.openxmlformats.org/officeDocument/2006/relationships" name="Defunciones generales" sheetId="7" state="visible" r:id="rId7"/>
  </sheets>
  <externalReferences>
    <externalReference xmlns:r="http://schemas.openxmlformats.org/officeDocument/2006/relationships" r:id="rId8"/>
  </externalReferences>
  <definedNames>
    <definedName name="Coeffs_111">Coefficients!$C$6</definedName>
    <definedName name="Coeffs_112">Coefficients!$N$6</definedName>
    <definedName name="Coeffs_113">Coefficients!$Y$6</definedName>
    <definedName name="Coeffs_121">Coefficients!$C$17</definedName>
    <definedName name="Coeffs_122">Coefficients!$N$17</definedName>
    <definedName name="Coeffs_123">Coefficients!$Y$17</definedName>
    <definedName name="Coeffs_131">Coefficients!$C$28</definedName>
    <definedName name="Coeffs_132">Coefficients!$N$28</definedName>
    <definedName name="Coeffs_133">Coefficients!$Y$28</definedName>
    <definedName name="Coeffs_141">Coefficients!$C$39</definedName>
    <definedName name="Coeffs_142">Coefficients!$N$39</definedName>
    <definedName name="Coeffs_143">Coefficients!$Y$39</definedName>
    <definedName name="Coeffs_211">Coefficients!$C$50</definedName>
    <definedName name="Coeffs_221">Coefficients!$C$61</definedName>
    <definedName name="Coeffs_231">Coefficients!$C$72</definedName>
    <definedName name="Coeffs_241">Coefficients!$C$83</definedName>
    <definedName name="Coeffs_251">Coefficients!$C$94</definedName>
    <definedName name="Family">Coefficients!$AI$9:$AI$10</definedName>
    <definedName name="FamSelect">Coefficients!$AJ$8</definedName>
    <definedName name="Princeton">Coefficients!$AI$13:$AI$16</definedName>
    <definedName name="Sex">Coefficients!$AI$29:$AI$31</definedName>
    <definedName name="TypeSelect">Coefficients!$AJ$23</definedName>
    <definedName name="UN">Coefficients!$AI$17:$AI$21</definedName>
    <definedName name="Variant">Coefficients!$AI$24:$AI$26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00"/>
    <numFmt numFmtId="165" formatCode="0_)"/>
    <numFmt numFmtId="166" formatCode="0.000_)"/>
    <numFmt numFmtId="167" formatCode="0.00000_)"/>
    <numFmt numFmtId="168" formatCode="0.00000"/>
    <numFmt numFmtId="169" formatCode="0.0000_)"/>
    <numFmt numFmtId="170" formatCode="0.000"/>
    <numFmt numFmtId="171" formatCode="#,##0.0000"/>
    <numFmt numFmtId="172" formatCode="General_)"/>
  </numFmts>
  <fonts count="27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ourier"/>
      <family val="3"/>
      <sz val="12"/>
    </font>
    <font>
      <name val="Arial Narrow"/>
      <family val="2"/>
      <b val="1"/>
      <sz val="11"/>
    </font>
    <font>
      <name val="Helv"/>
      <sz val="12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color theme="10"/>
      <sz val="10"/>
      <u val="single"/>
    </font>
    <font>
      <name val="Arial"/>
      <family val="2"/>
      <color theme="10"/>
      <sz val="12"/>
      <u val="single"/>
    </font>
    <font>
      <name val="Arial"/>
      <family val="2"/>
      <color theme="1"/>
      <sz val="12"/>
    </font>
    <font>
      <name val="Arial"/>
      <family val="2"/>
      <color rgb="FFFF0000"/>
      <sz val="12"/>
    </font>
    <font>
      <name val="Arial"/>
      <family val="2"/>
      <b val="1"/>
      <color rgb="FF006100"/>
      <sz val="12"/>
    </font>
    <font>
      <name val="Arial"/>
      <family val="2"/>
      <color rgb="FF006100"/>
      <sz val="12"/>
    </font>
    <font>
      <name val="Arial"/>
      <family val="2"/>
      <color theme="1"/>
      <sz val="10"/>
    </font>
    <font>
      <name val="Arial Narrow"/>
      <family val="2"/>
      <b val="1"/>
      <color theme="1"/>
      <sz val="11"/>
    </font>
    <font>
      <name val="Arial Narrow"/>
      <family val="2"/>
      <b val="1"/>
      <i val="1"/>
      <color theme="1"/>
      <sz val="11"/>
    </font>
    <font>
      <name val="Arial"/>
      <family val="2"/>
      <b val="1"/>
      <i val="1"/>
      <sz val="12"/>
    </font>
    <font>
      <name val="Arial"/>
      <family val="2"/>
      <i val="1"/>
      <sz val="12"/>
    </font>
    <font>
      <name val="Arial"/>
      <family val="2"/>
      <i val="1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Georgia"/>
      <family val="1"/>
      <color rgb="FF000000"/>
      <sz val="11"/>
    </font>
    <font>
      <name val="Calibri"/>
      <family val="2"/>
      <sz val="11"/>
    </font>
    <font>
      <name val="Calibri"/>
      <family val="2"/>
      <color theme="0"/>
      <sz val="11"/>
    </font>
    <font>
      <name val="Calibri"/>
      <family val="2"/>
      <color rgb="FF000000"/>
      <sz val="11"/>
    </font>
    <font>
      <name val="Georgia"/>
      <family val="1"/>
      <b val="1"/>
      <color rgb="FF000000"/>
      <sz val="11"/>
    </font>
  </fonts>
  <fills count="1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938962981048"/>
        <bgColor rgb="FFFFFF00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FFFF00"/>
      </patternFill>
    </fill>
    <fill>
      <patternFill patternType="solid">
        <fgColor theme="8" tint="0.3999755851924192"/>
        <bgColor rgb="FFFFFF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theme="9" tint="-0.249977111117893"/>
      </top>
      <bottom/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</borders>
  <cellStyleXfs count="6">
    <xf numFmtId="0" fontId="20" fillId="0" borderId="0"/>
    <xf numFmtId="0" fontId="1" fillId="2" borderId="0"/>
    <xf numFmtId="172" fontId="2" fillId="0" borderId="0"/>
    <xf numFmtId="165" fontId="4" fillId="0" borderId="0"/>
    <xf numFmtId="0" fontId="5" fillId="0" borderId="0"/>
    <xf numFmtId="0" fontId="8" fillId="0" borderId="0" applyAlignment="1" applyProtection="1">
      <alignment vertical="top"/>
      <protection locked="0" hidden="0"/>
    </xf>
  </cellStyleXfs>
  <cellXfs count="230">
    <xf numFmtId="0" fontId="0" fillId="0" borderId="0" pivotButton="0" quotePrefix="0" xfId="0"/>
    <xf numFmtId="0" fontId="7" fillId="0" borderId="0" pivotButton="0" quotePrefix="0" xfId="4"/>
    <xf numFmtId="0" fontId="7" fillId="0" borderId="0" applyAlignment="1" pivotButton="0" quotePrefix="0" xfId="4">
      <alignment wrapText="1"/>
    </xf>
    <xf numFmtId="0" fontId="6" fillId="0" borderId="0" pivotButton="0" quotePrefix="0" xfId="4"/>
    <xf numFmtId="0" fontId="7" fillId="0" borderId="0" applyAlignment="1" pivotButton="0" quotePrefix="0" xfId="4">
      <alignment vertical="center"/>
    </xf>
    <xf numFmtId="0" fontId="7" fillId="0" borderId="0" applyAlignment="1" pivotButton="0" quotePrefix="0" xfId="4">
      <alignment vertical="top" wrapText="1"/>
    </xf>
    <xf numFmtId="0" fontId="7" fillId="0" borderId="0" applyAlignment="1" pivotButton="0" quotePrefix="0" xfId="4">
      <alignment vertical="top"/>
    </xf>
    <xf numFmtId="0" fontId="10" fillId="0" borderId="0" pivotButton="0" quotePrefix="0" xfId="0"/>
    <xf numFmtId="0" fontId="7" fillId="0" borderId="13" applyAlignment="1" pivotButton="0" quotePrefix="0" xfId="4">
      <alignment horizontal="right"/>
    </xf>
    <xf numFmtId="0" fontId="7" fillId="0" borderId="12" applyAlignment="1" pivotButton="0" quotePrefix="0" xfId="4">
      <alignment horizontal="right"/>
    </xf>
    <xf numFmtId="0" fontId="10" fillId="0" borderId="14" applyAlignment="1" pivotButton="0" quotePrefix="0" xfId="4">
      <alignment horizontal="right"/>
    </xf>
    <xf numFmtId="0" fontId="7" fillId="0" borderId="0" applyAlignment="1" pivotButton="0" quotePrefix="0" xfId="4">
      <alignment horizontal="left"/>
    </xf>
    <xf numFmtId="0" fontId="7" fillId="0" borderId="20" applyAlignment="1" pivotButton="0" quotePrefix="0" xfId="4">
      <alignment horizontal="right"/>
    </xf>
    <xf numFmtId="0" fontId="10" fillId="0" borderId="12" pivotButton="0" quotePrefix="0" xfId="0"/>
    <xf numFmtId="0" fontId="10" fillId="0" borderId="0" applyAlignment="1" pivotButton="0" quotePrefix="0" xfId="0">
      <alignment horizontal="right"/>
    </xf>
    <xf numFmtId="0" fontId="10" fillId="0" borderId="12" applyAlignment="1" pivotButton="0" quotePrefix="0" xfId="0">
      <alignment horizontal="right"/>
    </xf>
    <xf numFmtId="0" fontId="10" fillId="0" borderId="14" applyAlignment="1" pivotButton="0" quotePrefix="0" xfId="0">
      <alignment horizontal="right"/>
    </xf>
    <xf numFmtId="0" fontId="10" fillId="0" borderId="18" pivotButton="0" quotePrefix="0" xfId="0"/>
    <xf numFmtId="0" fontId="10" fillId="0" borderId="0" applyProtection="1" pivotButton="0" quotePrefix="0" xfId="0">
      <protection locked="0" hidden="0"/>
    </xf>
    <xf numFmtId="0" fontId="10" fillId="0" borderId="0" applyAlignment="1" pivotButton="0" quotePrefix="0" xfId="0">
      <alignment wrapText="1"/>
    </xf>
    <xf numFmtId="0" fontId="14" fillId="0" borderId="0" pivotButton="0" quotePrefix="0" xfId="0"/>
    <xf numFmtId="164" fontId="14" fillId="0" borderId="0" pivotButton="0" quotePrefix="0" xfId="0"/>
    <xf numFmtId="1" fontId="14" fillId="0" borderId="0" pivotButton="0" quotePrefix="0" xfId="0"/>
    <xf numFmtId="0" fontId="14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7" fillId="0" borderId="0" applyAlignment="1" pivotButton="0" quotePrefix="0" xfId="4">
      <alignment horizontal="right" vertical="top"/>
    </xf>
    <xf numFmtId="0" fontId="15" fillId="0" borderId="7" pivotButton="0" quotePrefix="0" xfId="0"/>
    <xf numFmtId="0" fontId="14" fillId="0" borderId="0" applyAlignment="1" pivotButton="0" quotePrefix="0" xfId="0">
      <alignment horizontal="right" vertical="center" wrapText="1"/>
    </xf>
    <xf numFmtId="164" fontId="14" fillId="0" borderId="0" applyAlignment="1" pivotButton="0" quotePrefix="0" xfId="0">
      <alignment vertical="top" wrapText="1"/>
    </xf>
    <xf numFmtId="1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16" fontId="15" fillId="0" borderId="0" applyAlignment="1" pivotButton="0" quotePrefix="0" xfId="0">
      <alignment vertical="center" wrapText="1"/>
    </xf>
    <xf numFmtId="17" fontId="15" fillId="0" borderId="0" applyAlignment="1" pivotButton="0" quotePrefix="0" xfId="0">
      <alignment vertical="center" wrapText="1"/>
    </xf>
    <xf numFmtId="0" fontId="15" fillId="0" borderId="1" pivotButton="0" quotePrefix="0" xfId="0"/>
    <xf numFmtId="0" fontId="15" fillId="0" borderId="4" pivotButton="0" quotePrefix="0" xfId="0"/>
    <xf numFmtId="0" fontId="14" fillId="0" borderId="4" pivotButton="0" quotePrefix="0" xfId="0"/>
    <xf numFmtId="164" fontId="14" fillId="0" borderId="5" pivotButton="0" quotePrefix="0" xfId="0"/>
    <xf numFmtId="0" fontId="14" fillId="0" borderId="4" applyAlignment="1" pivotButton="0" quotePrefix="0" xfId="0">
      <alignment vertical="top" wrapText="1"/>
    </xf>
    <xf numFmtId="0" fontId="19" fillId="0" borderId="0" applyAlignment="1" pivotButton="0" quotePrefix="0" xfId="0">
      <alignment vertical="center" wrapText="1"/>
    </xf>
    <xf numFmtId="0" fontId="14" fillId="0" borderId="5" applyAlignment="1" pivotButton="0" quotePrefix="0" xfId="0">
      <alignment horizontal="right" vertical="center" wrapText="1"/>
    </xf>
    <xf numFmtId="0" fontId="19" fillId="0" borderId="4" applyAlignment="1" pivotButton="0" quotePrefix="0" xfId="0">
      <alignment vertical="center" wrapText="1"/>
    </xf>
    <xf numFmtId="0" fontId="14" fillId="0" borderId="5" pivotButton="0" quotePrefix="0" xfId="0"/>
    <xf numFmtId="164" fontId="14" fillId="0" borderId="0" applyAlignment="1" pivotButton="0" quotePrefix="0" xfId="0">
      <alignment horizontal="right" vertical="center" wrapText="1"/>
    </xf>
    <xf numFmtId="0" fontId="14" fillId="0" borderId="6" pivotButton="0" quotePrefix="0" xfId="0"/>
    <xf numFmtId="0" fontId="14" fillId="0" borderId="7" pivotButton="0" quotePrefix="0" xfId="0"/>
    <xf numFmtId="0" fontId="14" fillId="0" borderId="8" pivotButton="0" quotePrefix="0" xfId="0"/>
    <xf numFmtId="0" fontId="15" fillId="0" borderId="2" pivotButton="0" quotePrefix="0" xfId="0"/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top"/>
    </xf>
    <xf numFmtId="0" fontId="19" fillId="0" borderId="5" applyAlignment="1" pivotButton="0" quotePrefix="0" xfId="0">
      <alignment vertical="center"/>
    </xf>
    <xf numFmtId="0" fontId="15" fillId="0" borderId="6" pivotButton="0" quotePrefix="0" xfId="0"/>
    <xf numFmtId="0" fontId="16" fillId="0" borderId="7" applyAlignment="1" pivotButton="0" quotePrefix="0" xfId="0">
      <alignment horizontal="right"/>
    </xf>
    <xf numFmtId="0" fontId="15" fillId="0" borderId="8" pivotButton="0" quotePrefix="0" xfId="0"/>
    <xf numFmtId="165" fontId="5" fillId="6" borderId="0" pivotButton="0" quotePrefix="0" xfId="3"/>
    <xf numFmtId="165" fontId="5" fillId="6" borderId="23" pivotButton="0" quotePrefix="0" xfId="3"/>
    <xf numFmtId="165" fontId="5" fillId="6" borderId="24" pivotButton="0" quotePrefix="0" xfId="3"/>
    <xf numFmtId="165" fontId="5" fillId="6" borderId="9" pivotButton="0" quotePrefix="0" xfId="3"/>
    <xf numFmtId="166" fontId="5" fillId="6" borderId="0" pivotButton="0" quotePrefix="0" xfId="3"/>
    <xf numFmtId="0" fontId="14" fillId="0" borderId="7" applyAlignment="1" pivotButton="0" quotePrefix="0" xfId="0">
      <alignment vertical="center" wrapText="1"/>
    </xf>
    <xf numFmtId="0" fontId="19" fillId="0" borderId="7" applyAlignment="1" pivotButton="0" quotePrefix="0" xfId="0">
      <alignment vertical="center" wrapText="1"/>
    </xf>
    <xf numFmtId="0" fontId="14" fillId="0" borderId="7" applyAlignment="1" pivotButton="0" quotePrefix="0" xfId="0">
      <alignment horizontal="right" vertical="center" wrapText="1"/>
    </xf>
    <xf numFmtId="1" fontId="14" fillId="0" borderId="4" pivotButton="0" quotePrefix="0" xfId="0"/>
    <xf numFmtId="1" fontId="14" fillId="0" borderId="5" pivotButton="0" quotePrefix="0" xfId="0"/>
    <xf numFmtId="165" fontId="5" fillId="0" borderId="1" pivotButton="0" quotePrefix="0" xfId="3"/>
    <xf numFmtId="165" fontId="5" fillId="0" borderId="4" pivotButton="0" quotePrefix="0" xfId="3"/>
    <xf numFmtId="167" fontId="5" fillId="0" borderId="0" pivotButton="0" quotePrefix="0" xfId="3"/>
    <xf numFmtId="165" fontId="5" fillId="0" borderId="6" pivotButton="0" quotePrefix="0" xfId="3"/>
    <xf numFmtId="168" fontId="14" fillId="0" borderId="4" pivotButton="0" quotePrefix="0" xfId="0"/>
    <xf numFmtId="168" fontId="14" fillId="0" borderId="0" pivotButton="0" quotePrefix="0" xfId="0"/>
    <xf numFmtId="168" fontId="14" fillId="0" borderId="5" pivotButton="0" quotePrefix="0" xfId="0"/>
    <xf numFmtId="168" fontId="14" fillId="0" borderId="6" pivotButton="0" quotePrefix="0" xfId="0"/>
    <xf numFmtId="168" fontId="14" fillId="0" borderId="7" pivotButton="0" quotePrefix="0" xfId="0"/>
    <xf numFmtId="168" fontId="14" fillId="0" borderId="8" pivotButton="0" quotePrefix="0" xfId="0"/>
    <xf numFmtId="0" fontId="15" fillId="0" borderId="25" pivotButton="0" quotePrefix="0" xfId="0"/>
    <xf numFmtId="0" fontId="15" fillId="0" borderId="26" pivotButton="0" quotePrefix="0" xfId="0"/>
    <xf numFmtId="0" fontId="15" fillId="0" borderId="27" pivotButton="0" quotePrefix="0" xfId="0"/>
    <xf numFmtId="0" fontId="16" fillId="0" borderId="0" applyAlignment="1" pivotButton="0" quotePrefix="0" xfId="0">
      <alignment horizontal="right"/>
    </xf>
    <xf numFmtId="169" fontId="5" fillId="0" borderId="0" pivotButton="0" quotePrefix="0" xfId="3"/>
    <xf numFmtId="0" fontId="16" fillId="0" borderId="0" pivotButton="0" quotePrefix="0" xfId="0"/>
    <xf numFmtId="0" fontId="14" fillId="0" borderId="3" pivotButton="0" quotePrefix="0" xfId="0"/>
    <xf numFmtId="167" fontId="5" fillId="0" borderId="5" pivotButton="0" quotePrefix="0" xfId="3"/>
    <xf numFmtId="167" fontId="5" fillId="0" borderId="8" pivotButton="0" quotePrefix="0" xfId="3"/>
    <xf numFmtId="164" fontId="14" fillId="0" borderId="0" applyAlignment="1" pivotButton="0" quotePrefix="0" xfId="0">
      <alignment vertical="center"/>
    </xf>
    <xf numFmtId="0" fontId="21" fillId="0" borderId="0" pivotButton="0" quotePrefix="0" xfId="0"/>
    <xf numFmtId="2" fontId="0" fillId="0" borderId="0" pivotButton="0" quotePrefix="0" xfId="0"/>
    <xf numFmtId="2" fontId="0" fillId="0" borderId="28" pivotButton="0" quotePrefix="0" xfId="0"/>
    <xf numFmtId="2" fontId="20" fillId="0" borderId="8" pivotButton="0" quotePrefix="0" xfId="0"/>
    <xf numFmtId="2" fontId="22" fillId="0" borderId="7" applyAlignment="1" pivotButton="0" quotePrefix="0" xfId="0">
      <alignment horizontal="center"/>
    </xf>
    <xf numFmtId="3" fontId="22" fillId="0" borderId="7" applyAlignment="1" pivotButton="0" quotePrefix="0" xfId="0">
      <alignment horizontal="center"/>
    </xf>
    <xf numFmtId="170" fontId="22" fillId="0" borderId="7" applyAlignment="1" pivotButton="0" quotePrefix="0" xfId="0">
      <alignment horizontal="center"/>
    </xf>
    <xf numFmtId="171" fontId="22" fillId="0" borderId="7" applyAlignment="1" pivotButton="0" quotePrefix="0" xfId="0">
      <alignment horizontal="center"/>
    </xf>
    <xf numFmtId="164" fontId="22" fillId="0" borderId="7" applyAlignment="1" pivotButton="0" quotePrefix="0" xfId="0">
      <alignment horizontal="center"/>
    </xf>
    <xf numFmtId="0" fontId="22" fillId="0" borderId="7" applyAlignment="1" pivotButton="0" quotePrefix="0" xfId="0">
      <alignment horizontal="center"/>
    </xf>
    <xf numFmtId="0" fontId="22" fillId="0" borderId="6" applyAlignment="1" pivotButton="0" quotePrefix="0" xfId="0">
      <alignment horizontal="center"/>
    </xf>
    <xf numFmtId="2" fontId="20" fillId="0" borderId="5" pivotButton="0" quotePrefix="0" xfId="0"/>
    <xf numFmtId="2" fontId="22" fillId="0" borderId="0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170" fontId="22" fillId="0" borderId="0" applyAlignment="1" pivotButton="0" quotePrefix="0" xfId="0">
      <alignment horizontal="center"/>
    </xf>
    <xf numFmtId="171" fontId="22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2" fillId="0" borderId="4" applyAlignment="1" pivotButton="0" quotePrefix="0" xfId="0">
      <alignment horizontal="center"/>
    </xf>
    <xf numFmtId="2" fontId="20" fillId="0" borderId="29" pivotButton="0" quotePrefix="0" xfId="0"/>
    <xf numFmtId="0" fontId="21" fillId="0" borderId="29" pivotButton="0" quotePrefix="0" xfId="0"/>
    <xf numFmtId="2" fontId="20" fillId="0" borderId="0" pivotButton="0" quotePrefix="0" xfId="0"/>
    <xf numFmtId="0" fontId="21" fillId="0" borderId="2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20" fillId="0" borderId="26" applyAlignment="1" pivotButton="0" quotePrefix="0" xfId="0">
      <alignment horizontal="center" vertical="center"/>
    </xf>
    <xf numFmtId="0" fontId="22" fillId="0" borderId="25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/>
    </xf>
    <xf numFmtId="3" fontId="22" fillId="8" borderId="0" applyAlignment="1" pivotButton="0" quotePrefix="0" xfId="0">
      <alignment horizontal="center"/>
    </xf>
    <xf numFmtId="3" fontId="22" fillId="8" borderId="7" applyAlignment="1" pivotButton="0" quotePrefix="0" xfId="0">
      <alignment horizontal="center"/>
    </xf>
    <xf numFmtId="3" fontId="22" fillId="9" borderId="0" applyAlignment="1" pivotButton="0" quotePrefix="0" xfId="0">
      <alignment horizontal="center"/>
    </xf>
    <xf numFmtId="3" fontId="22" fillId="9" borderId="7" applyAlignment="1" pivotButton="0" quotePrefix="0" xfId="0">
      <alignment horizontal="center"/>
    </xf>
    <xf numFmtId="164" fontId="22" fillId="8" borderId="0" applyAlignment="1" pivotButton="0" quotePrefix="0" xfId="0">
      <alignment horizontal="center"/>
    </xf>
    <xf numFmtId="164" fontId="22" fillId="8" borderId="7" applyAlignment="1" pivotButton="0" quotePrefix="0" xfId="0">
      <alignment horizontal="center"/>
    </xf>
    <xf numFmtId="0" fontId="22" fillId="8" borderId="0" applyAlignment="1" pivotButton="0" quotePrefix="0" xfId="0">
      <alignment horizontal="center"/>
    </xf>
    <xf numFmtId="2" fontId="22" fillId="8" borderId="0" applyAlignment="1" pivotButton="0" quotePrefix="0" xfId="0">
      <alignment horizontal="center"/>
    </xf>
    <xf numFmtId="2" fontId="22" fillId="8" borderId="7" applyAlignment="1" pivotButton="0" quotePrefix="0" xfId="0">
      <alignment horizontal="center"/>
    </xf>
    <xf numFmtId="3" fontId="22" fillId="10" borderId="0" applyAlignment="1" pivotButton="0" quotePrefix="0" xfId="0">
      <alignment horizontal="center"/>
    </xf>
    <xf numFmtId="3" fontId="22" fillId="10" borderId="7" applyAlignment="1" pivotButton="0" quotePrefix="0" xfId="0">
      <alignment horizontal="center"/>
    </xf>
    <xf numFmtId="3" fontId="22" fillId="11" borderId="0" applyAlignment="1" pivotButton="0" quotePrefix="0" xfId="0">
      <alignment horizontal="center"/>
    </xf>
    <xf numFmtId="164" fontId="22" fillId="10" borderId="0" applyAlignment="1" pivotButton="0" quotePrefix="0" xfId="0">
      <alignment horizontal="center"/>
    </xf>
    <xf numFmtId="3" fontId="22" fillId="11" borderId="7" applyAlignment="1" pivotButton="0" quotePrefix="0" xfId="0">
      <alignment horizontal="center"/>
    </xf>
    <xf numFmtId="164" fontId="22" fillId="10" borderId="7" applyAlignment="1" pivotButton="0" quotePrefix="0" xfId="0">
      <alignment horizontal="center"/>
    </xf>
    <xf numFmtId="0" fontId="22" fillId="10" borderId="0" applyAlignment="1" pivotButton="0" quotePrefix="0" xfId="0">
      <alignment horizontal="center"/>
    </xf>
    <xf numFmtId="2" fontId="22" fillId="10" borderId="0" applyAlignment="1" pivotButton="0" quotePrefix="0" xfId="0">
      <alignment horizontal="center"/>
    </xf>
    <xf numFmtId="0" fontId="22" fillId="10" borderId="7" applyAlignment="1" pivotButton="0" quotePrefix="0" xfId="0">
      <alignment horizontal="center"/>
    </xf>
    <xf numFmtId="2" fontId="22" fillId="10" borderId="7" applyAlignment="1" pivotButton="0" quotePrefix="0" xfId="0">
      <alignment horizontal="center"/>
    </xf>
    <xf numFmtId="2" fontId="26" fillId="12" borderId="0" applyAlignment="1" pivotButton="0" quotePrefix="0" xfId="0">
      <alignment horizontal="center"/>
    </xf>
    <xf numFmtId="2" fontId="26" fillId="13" borderId="0" applyAlignment="1" pivotButton="0" quotePrefix="0" xfId="0">
      <alignment horizontal="center"/>
    </xf>
    <xf numFmtId="2" fontId="26" fillId="14" borderId="0" applyAlignment="1" pivotButton="0" quotePrefix="0" xfId="0">
      <alignment horizontal="center"/>
    </xf>
    <xf numFmtId="2" fontId="26" fillId="15" borderId="0" applyAlignment="1" pivotButton="0" quotePrefix="0" xfId="0">
      <alignment horizontal="center"/>
    </xf>
    <xf numFmtId="0" fontId="0" fillId="13" borderId="0" pivotButton="0" quotePrefix="0" xfId="0"/>
    <xf numFmtId="0" fontId="0" fillId="10" borderId="0" pivotButton="0" quotePrefix="0" xfId="0"/>
    <xf numFmtId="0" fontId="0" fillId="0" borderId="0" pivotButton="0" quotePrefix="1" xfId="0"/>
    <xf numFmtId="0" fontId="20" fillId="0" borderId="28" pivotButton="0" quotePrefix="0" xfId="0"/>
    <xf numFmtId="11" fontId="0" fillId="13" borderId="0" pivotButton="0" quotePrefix="1" xfId="0"/>
    <xf numFmtId="11" fontId="0" fillId="10" borderId="0" pivotButton="0" quotePrefix="1" xfId="0"/>
    <xf numFmtId="0" fontId="22" fillId="0" borderId="7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 wrapText="1"/>
    </xf>
    <xf numFmtId="170" fontId="12" fillId="2" borderId="15" applyAlignment="1" applyProtection="1" pivotButton="0" quotePrefix="0" xfId="1">
      <alignment horizontal="center"/>
      <protection locked="0" hidden="0"/>
    </xf>
    <xf numFmtId="170" fontId="12" fillId="2" borderId="17" applyAlignment="1" applyProtection="1" pivotButton="0" quotePrefix="0" xfId="1">
      <alignment horizontal="center"/>
      <protection locked="0" hidden="0"/>
    </xf>
    <xf numFmtId="0" fontId="13" fillId="3" borderId="0" applyAlignment="1" pivotButton="0" quotePrefix="0" xfId="1">
      <alignment horizontal="center"/>
    </xf>
    <xf numFmtId="0" fontId="13" fillId="3" borderId="18" applyAlignment="1" pivotButton="0" quotePrefix="0" xfId="1">
      <alignment horizontal="center"/>
    </xf>
    <xf numFmtId="14" fontId="13" fillId="2" borderId="16" applyAlignment="1" applyProtection="1" pivotButton="0" quotePrefix="0" xfId="1">
      <alignment horizontal="center"/>
      <protection locked="0" hidden="0"/>
    </xf>
    <xf numFmtId="14" fontId="13" fillId="2" borderId="19" applyAlignment="1" applyProtection="1" pivotButton="0" quotePrefix="0" xfId="1">
      <alignment horizontal="center"/>
      <protection locked="0" hidden="0"/>
    </xf>
    <xf numFmtId="170" fontId="13" fillId="2" borderId="21" applyAlignment="1" applyProtection="1" pivotButton="0" quotePrefix="0" xfId="1">
      <alignment horizontal="right"/>
      <protection locked="0" hidden="0"/>
    </xf>
    <xf numFmtId="170" fontId="13" fillId="2" borderId="22" applyAlignment="1" applyProtection="1" pivotButton="0" quotePrefix="0" xfId="1">
      <alignment horizontal="right"/>
      <protection locked="0" hidden="0"/>
    </xf>
    <xf numFmtId="170" fontId="13" fillId="2" borderId="15" applyAlignment="1" applyProtection="1" pivotButton="0" quotePrefix="0" xfId="1">
      <alignment horizontal="right"/>
      <protection locked="0" hidden="0"/>
    </xf>
    <xf numFmtId="170" fontId="13" fillId="2" borderId="17" applyAlignment="1" applyProtection="1" pivotButton="0" quotePrefix="0" xfId="1">
      <alignment horizontal="right"/>
      <protection locked="0" hidden="0"/>
    </xf>
    <xf numFmtId="0" fontId="6" fillId="4" borderId="10" applyAlignment="1" pivotButton="0" quotePrefix="0" xfId="4">
      <alignment horizontal="center" wrapText="1"/>
    </xf>
    <xf numFmtId="0" fontId="6" fillId="4" borderId="11" applyAlignment="1" pivotButton="0" quotePrefix="0" xfId="4">
      <alignment horizontal="center" wrapText="1"/>
    </xf>
    <xf numFmtId="0" fontId="7" fillId="0" borderId="0" applyAlignment="1" pivotButton="0" quotePrefix="0" xfId="4">
      <alignment horizontal="left" vertical="top" wrapText="1"/>
    </xf>
    <xf numFmtId="170" fontId="13" fillId="2" borderId="0" applyAlignment="1" applyProtection="1" pivotButton="0" quotePrefix="0" xfId="1">
      <alignment horizontal="right"/>
      <protection locked="0" hidden="0"/>
    </xf>
    <xf numFmtId="170" fontId="13" fillId="2" borderId="18" applyAlignment="1" applyProtection="1" pivotButton="0" quotePrefix="0" xfId="1">
      <alignment horizontal="right"/>
      <protection locked="0" hidden="0"/>
    </xf>
    <xf numFmtId="0" fontId="13" fillId="5" borderId="16" applyAlignment="1" applyProtection="1" pivotButton="0" quotePrefix="0" xfId="0">
      <alignment horizontal="right"/>
      <protection locked="0" hidden="0"/>
    </xf>
    <xf numFmtId="0" fontId="13" fillId="5" borderId="19" applyAlignment="1" applyProtection="1" pivotButton="0" quotePrefix="0" xfId="0">
      <alignment horizontal="right"/>
      <protection locked="0" hidden="0"/>
    </xf>
    <xf numFmtId="0" fontId="13" fillId="2" borderId="0" applyAlignment="1" applyProtection="1" pivotButton="0" quotePrefix="0" xfId="1">
      <alignment horizontal="right"/>
      <protection locked="0" hidden="0"/>
    </xf>
    <xf numFmtId="0" fontId="13" fillId="2" borderId="18" applyAlignment="1" applyProtection="1" pivotButton="0" quotePrefix="0" xfId="1">
      <alignment horizontal="right"/>
      <protection locked="0" hidden="0"/>
    </xf>
    <xf numFmtId="172" fontId="9" fillId="0" borderId="12" applyAlignment="1" applyProtection="1" pivotButton="0" quotePrefix="0" xfId="5">
      <alignment horizontal="center"/>
      <protection locked="0" hidden="0"/>
    </xf>
    <xf numFmtId="172" fontId="9" fillId="0" borderId="0" applyAlignment="1" applyProtection="1" pivotButton="0" quotePrefix="0" xfId="5">
      <alignment horizontal="center"/>
      <protection locked="0" hidden="0"/>
    </xf>
    <xf numFmtId="0" fontId="15" fillId="0" borderId="0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165" fontId="3" fillId="6" borderId="0" applyAlignment="1" pivotButton="0" quotePrefix="0" xfId="3">
      <alignment horizontal="center"/>
    </xf>
    <xf numFmtId="0" fontId="15" fillId="0" borderId="2" applyAlignment="1" pivotButton="0" quotePrefix="0" xfId="0">
      <alignment horizontal="center"/>
    </xf>
    <xf numFmtId="0" fontId="15" fillId="0" borderId="3" applyAlignment="1" pivotButton="0" quotePrefix="0" xfId="0">
      <alignment horizontal="center"/>
    </xf>
    <xf numFmtId="0" fontId="20" fillId="0" borderId="35" applyAlignment="1" pivotButton="0" quotePrefix="0" xfId="0">
      <alignment horizontal="center" vertical="center" wrapText="1"/>
    </xf>
    <xf numFmtId="0" fontId="23" fillId="0" borderId="34" applyAlignment="1" pivotButton="0" quotePrefix="0" xfId="0">
      <alignment vertical="center" wrapText="1"/>
    </xf>
    <xf numFmtId="0" fontId="23" fillId="0" borderId="33" applyAlignment="1" pivotButton="0" quotePrefix="0" xfId="0">
      <alignment vertical="center" wrapText="1"/>
    </xf>
    <xf numFmtId="0" fontId="23" fillId="0" borderId="32" applyAlignment="1" pivotButton="0" quotePrefix="0" xfId="0">
      <alignment vertical="center" wrapText="1"/>
    </xf>
    <xf numFmtId="0" fontId="23" fillId="0" borderId="31" applyAlignment="1" pivotButton="0" quotePrefix="0" xfId="0">
      <alignment vertical="center" wrapText="1"/>
    </xf>
    <xf numFmtId="0" fontId="23" fillId="0" borderId="30" applyAlignment="1" pivotButton="0" quotePrefix="0" xfId="0">
      <alignment vertical="center" wrapText="1"/>
    </xf>
    <xf numFmtId="0" fontId="21" fillId="16" borderId="0" applyAlignment="1" pivotButton="0" quotePrefix="0" xfId="0">
      <alignment horizontal="center"/>
    </xf>
    <xf numFmtId="0" fontId="21" fillId="7" borderId="0" applyAlignment="1" pivotButton="0" quotePrefix="0" xfId="0">
      <alignment horizontal="center"/>
    </xf>
    <xf numFmtId="0" fontId="6" fillId="4" borderId="36" applyAlignment="1" pivotButton="0" quotePrefix="0" xfId="4">
      <alignment horizontal="center" wrapText="1"/>
    </xf>
    <xf numFmtId="0" fontId="0" fillId="0" borderId="11" pivotButton="0" quotePrefix="0" xfId="0"/>
    <xf numFmtId="172" fontId="9" fillId="0" borderId="12" applyAlignment="1" applyProtection="1" pivotButton="0" quotePrefix="0" xfId="5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70" fontId="12" fillId="2" borderId="17" applyAlignment="1" applyProtection="1" pivotButton="0" quotePrefix="0" xfId="1">
      <alignment horizont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pivotButton="0" quotePrefix="0" xfId="0"/>
    <xf numFmtId="14" fontId="13" fillId="2" borderId="39" applyAlignment="1" applyProtection="1" pivotButton="0" quotePrefix="0" xfId="1">
      <alignment horizont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170" fontId="13" fillId="2" borderId="22" applyAlignment="1" applyProtection="1" pivotButton="0" quotePrefix="0" xfId="1">
      <alignment horizontal="right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170" fontId="13" fillId="2" borderId="17" applyAlignment="1" applyProtection="1" pivotButton="0" quotePrefix="0" xfId="1">
      <alignment horizontal="right"/>
      <protection locked="0" hidden="0"/>
    </xf>
    <xf numFmtId="170" fontId="13" fillId="2" borderId="18" applyAlignment="1" applyProtection="1" pivotButton="0" quotePrefix="0" xfId="1">
      <alignment horizontal="right"/>
      <protection locked="0" hidden="0"/>
    </xf>
    <xf numFmtId="0" fontId="0" fillId="0" borderId="18" applyProtection="1" pivotButton="0" quotePrefix="0" xfId="0">
      <protection locked="0" hidden="0"/>
    </xf>
    <xf numFmtId="0" fontId="13" fillId="5" borderId="39" applyAlignment="1" applyProtection="1" pivotButton="0" quotePrefix="0" xfId="0">
      <alignment horizontal="right"/>
      <protection locked="0" hidden="0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165" fontId="3" fillId="6" borderId="0" applyAlignment="1" pivotButton="0" quotePrefix="0" xfId="3">
      <alignment horizontal="center"/>
    </xf>
    <xf numFmtId="165" fontId="5" fillId="6" borderId="0" pivotButton="0" quotePrefix="0" xfId="3"/>
    <xf numFmtId="166" fontId="5" fillId="6" borderId="0" pivotButton="0" quotePrefix="0" xfId="3"/>
    <xf numFmtId="165" fontId="5" fillId="6" borderId="23" pivotButton="0" quotePrefix="0" xfId="3"/>
    <xf numFmtId="165" fontId="5" fillId="6" borderId="9" pivotButton="0" quotePrefix="0" xfId="3"/>
    <xf numFmtId="165" fontId="5" fillId="6" borderId="24" pivotButton="0" quotePrefix="0" xfId="3"/>
    <xf numFmtId="165" fontId="5" fillId="0" borderId="1" pivotButton="0" quotePrefix="0" xfId="3"/>
    <xf numFmtId="167" fontId="5" fillId="0" borderId="0" pivotButton="0" quotePrefix="0" xfId="3"/>
    <xf numFmtId="165" fontId="5" fillId="0" borderId="4" pivotButton="0" quotePrefix="0" xfId="3"/>
    <xf numFmtId="167" fontId="5" fillId="0" borderId="5" pivotButton="0" quotePrefix="0" xfId="3"/>
    <xf numFmtId="169" fontId="5" fillId="0" borderId="0" pivotButton="0" quotePrefix="0" xfId="3"/>
    <xf numFmtId="165" fontId="5" fillId="0" borderId="6" pivotButton="0" quotePrefix="0" xfId="3"/>
    <xf numFmtId="167" fontId="5" fillId="0" borderId="8" pivotButton="0" quotePrefix="0" xfId="3"/>
    <xf numFmtId="168" fontId="14" fillId="0" borderId="4" pivotButton="0" quotePrefix="0" xfId="0"/>
    <xf numFmtId="168" fontId="14" fillId="0" borderId="0" pivotButton="0" quotePrefix="0" xfId="0"/>
    <xf numFmtId="168" fontId="14" fillId="0" borderId="5" pivotButton="0" quotePrefix="0" xfId="0"/>
    <xf numFmtId="168" fontId="14" fillId="0" borderId="6" pivotButton="0" quotePrefix="0" xfId="0"/>
    <xf numFmtId="168" fontId="14" fillId="0" borderId="7" pivotButton="0" quotePrefix="0" xfId="0"/>
    <xf numFmtId="168" fontId="14" fillId="0" borderId="8" pivotButton="0" quotePrefix="0" xfId="0"/>
    <xf numFmtId="171" fontId="22" fillId="0" borderId="0" applyAlignment="1" pivotButton="0" quotePrefix="0" xfId="0">
      <alignment horizontal="center"/>
    </xf>
    <xf numFmtId="170" fontId="22" fillId="0" borderId="0" applyAlignment="1" pivotButton="0" quotePrefix="0" xfId="0">
      <alignment horizontal="center"/>
    </xf>
    <xf numFmtId="0" fontId="20" fillId="0" borderId="29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31" pivotButton="0" quotePrefix="0" xfId="0"/>
    <xf numFmtId="0" fontId="0" fillId="0" borderId="30" pivotButton="0" quotePrefix="0" xfId="0"/>
    <xf numFmtId="171" fontId="22" fillId="0" borderId="7" applyAlignment="1" pivotButton="0" quotePrefix="0" xfId="0">
      <alignment horizontal="center"/>
    </xf>
    <xf numFmtId="170" fontId="22" fillId="0" borderId="7" applyAlignment="1" pivotButton="0" quotePrefix="0" xfId="0">
      <alignment horizontal="center"/>
    </xf>
  </cellXfs>
  <cellStyles count="6">
    <cellStyle name="Normal" xfId="0" builtinId="0"/>
    <cellStyle name="Bueno" xfId="1" builtinId="26"/>
    <cellStyle name="Normal 3" xfId="2"/>
    <cellStyle name="Normal 2" xfId="3"/>
    <cellStyle name="Normal 3 2 2" xfId="4"/>
    <cellStyle name="Hipervínculo" xfId="5" builtinId="8"/>
  </cellStyles>
  <dxfs count="1">
    <dxf>
      <font>
        <color theme="0"/>
      </font>
      <fill>
        <patternFill>
          <bgColor auto="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strRef>
              <f>'Decrementos Múltiples'!$I$26</f>
              <strCache>
                <ptCount val="1"/>
                <pt idx="0">
                  <v>nqx</v>
                </pt>
              </strCache>
            </strRef>
          </tx>
          <spPr>
            <a:ln xmlns:a="http://schemas.openxmlformats.org/drawingml/2006/main" cmpd="sng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'Decrementos Múltiples'!$B$27:$B$45</f>
              <numCache>
                <formatCode>General</formatCode>
                <ptCount val="19"/>
                <pt idx="0">
                  <v>0</v>
                </pt>
                <pt idx="1">
                  <v>1</v>
                </pt>
                <pt idx="2">
                  <v>5</v>
                </pt>
                <pt idx="3">
                  <v>10</v>
                </pt>
                <pt idx="4">
                  <v>15</v>
                </pt>
                <pt idx="5">
                  <v>20</v>
                </pt>
                <pt idx="6">
                  <v>25</v>
                </pt>
                <pt idx="7">
                  <v>30</v>
                </pt>
                <pt idx="8">
                  <v>35</v>
                </pt>
                <pt idx="9">
                  <v>40</v>
                </pt>
                <pt idx="10">
                  <v>45</v>
                </pt>
                <pt idx="11">
                  <v>50</v>
                </pt>
                <pt idx="12">
                  <v>55</v>
                </pt>
                <pt idx="13">
                  <v>60</v>
                </pt>
                <pt idx="14">
                  <v>65</v>
                </pt>
                <pt idx="15">
                  <v>70</v>
                </pt>
                <pt idx="16">
                  <v>75</v>
                </pt>
                <pt idx="17">
                  <v>80</v>
                </pt>
                <pt idx="18">
                  <v>85</v>
                </pt>
              </numCache>
            </numRef>
          </cat>
          <val>
            <numRef>
              <f>'Decrementos Múltiples'!$I$27:$I$45</f>
              <numCache>
                <formatCode>0.0000</formatCode>
                <ptCount val="19"/>
                <pt idx="0">
                  <v>0.0105634</v>
                </pt>
                <pt idx="1">
                  <v>0.001848399999999972</v>
                </pt>
                <pt idx="2">
                  <v>0.0009548000000000334</v>
                </pt>
                <pt idx="3">
                  <v>0.001124400000000025</v>
                </pt>
                <pt idx="4">
                  <v>0.00223669999999998</v>
                </pt>
                <pt idx="5">
                  <v>0.00281790000000004</v>
                </pt>
                <pt idx="6">
                  <v>0.003551599999999988</v>
                </pt>
                <pt idx="7">
                  <v>0.00402250000000004</v>
                </pt>
                <pt idx="8">
                  <v>0.005519199999999946</v>
                </pt>
                <pt idx="9">
                  <v>0.008024200000000037</v>
                </pt>
                <pt idx="10">
                  <v>0.01396350000000002</v>
                </pt>
                <pt idx="11">
                  <v>0.02091319999999997</v>
                </pt>
                <pt idx="12">
                  <v>0.03420710000000005</v>
                </pt>
                <pt idx="13">
                  <v>0.05285050000000002</v>
                </pt>
                <pt idx="14">
                  <v>0.07901460000000005</v>
                </pt>
                <pt idx="15">
                  <v>0.1109776</v>
                </pt>
                <pt idx="16">
                  <v>0.1677755</v>
                </pt>
                <pt idx="17">
                  <v>0.2691658</v>
                </pt>
                <pt idx="18">
                  <v>1</v>
                </pt>
              </numCache>
            </numRef>
          </val>
          <smooth val="0"/>
        </ser>
        <ser>
          <idx val="1"/>
          <order val="1"/>
          <tx>
            <strRef>
              <f>'Decrementos Múltiples'!$M$26</f>
              <strCache>
                <ptCount val="1"/>
                <pt idx="0">
                  <v>nqx_i</v>
                </pt>
              </strCache>
            </strRef>
          </tx>
          <spPr>
            <a:ln xmlns:a="http://schemas.openxmlformats.org/drawingml/2006/main" cmpd="sng">
              <a:solidFill>
                <a:schemeClr val="accent6">
                  <a:lumMod val="75000"/>
                </a:schemeClr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'Decrementos Múltiples'!$B$27:$B$45</f>
              <numCache>
                <formatCode>General</formatCode>
                <ptCount val="19"/>
                <pt idx="0">
                  <v>0</v>
                </pt>
                <pt idx="1">
                  <v>1</v>
                </pt>
                <pt idx="2">
                  <v>5</v>
                </pt>
                <pt idx="3">
                  <v>10</v>
                </pt>
                <pt idx="4">
                  <v>15</v>
                </pt>
                <pt idx="5">
                  <v>20</v>
                </pt>
                <pt idx="6">
                  <v>25</v>
                </pt>
                <pt idx="7">
                  <v>30</v>
                </pt>
                <pt idx="8">
                  <v>35</v>
                </pt>
                <pt idx="9">
                  <v>40</v>
                </pt>
                <pt idx="10">
                  <v>45</v>
                </pt>
                <pt idx="11">
                  <v>50</v>
                </pt>
                <pt idx="12">
                  <v>55</v>
                </pt>
                <pt idx="13">
                  <v>60</v>
                </pt>
                <pt idx="14">
                  <v>65</v>
                </pt>
                <pt idx="15">
                  <v>70</v>
                </pt>
                <pt idx="16">
                  <v>75</v>
                </pt>
                <pt idx="17">
                  <v>80</v>
                </pt>
                <pt idx="18">
                  <v>85</v>
                </pt>
              </numCache>
            </numRef>
          </cat>
          <val>
            <numRef>
              <f>'Decrementos Múltiples'!$M$27:$M$45</f>
              <numCache>
                <formatCode>#,##0.0000</formatCode>
                <ptCount val="19"/>
                <pt idx="0">
                  <v>0.01049541298557288</v>
                </pt>
                <pt idx="1">
                  <v>0.001780560078810001</v>
                </pt>
                <pt idx="2">
                  <v>0.0009123838092286451</v>
                </pt>
                <pt idx="3">
                  <v>0.001057506830158372</v>
                </pt>
                <pt idx="4">
                  <v>0.002015209855677047</v>
                </pt>
                <pt idx="5">
                  <v>0.002388452649595529</v>
                </pt>
                <pt idx="6">
                  <v>0.003134420272524974</v>
                </pt>
                <pt idx="7">
                  <v>0.003669918709076292</v>
                </pt>
                <pt idx="8">
                  <v>0.005212098694678646</v>
                </pt>
                <pt idx="9">
                  <v>0.007698107900550255</v>
                </pt>
                <pt idx="10">
                  <v>0.01380333774511355</v>
                </pt>
                <pt idx="11">
                  <v>0.02078600085401694</v>
                </pt>
                <pt idx="12">
                  <v>0.03388925648533581</v>
                </pt>
                <pt idx="13">
                  <v>0.05268487808230093</v>
                </pt>
                <pt idx="14">
                  <v>0.07893314883798774</v>
                </pt>
                <pt idx="15">
                  <v>0.1108166132822805</v>
                </pt>
                <pt idx="16">
                  <v>0.1675920417577358</v>
                </pt>
                <pt idx="17">
                  <v>0.2689021606728649</v>
                </pt>
                <pt idx="18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815733113"/>
        <axId val="33690205"/>
      </lineChart>
      <catAx>
        <axId val="81573311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s-MX"/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solidFill>
              <a:schemeClr val="bg1">
                <a:lumMod val="85000"/>
              </a:schemeClr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s-MX"/>
          </a:p>
        </txPr>
        <crossAx val="33690205"/>
        <crosses val="autoZero"/>
        <auto val="1"/>
        <lblAlgn val="ctr"/>
        <lblOffset val="100"/>
        <noMultiLvlLbl val="1"/>
      </catAx>
      <valAx>
        <axId val="33690205"/>
        <scaling>
          <logBase val="10"/>
          <orientation val="minMax"/>
          <max val="1"/>
          <min val="0.0008000000000000003"/>
        </scaling>
        <delete val="0"/>
        <axPos val="l"/>
        <majorGridlines>
          <spPr>
            <a:ln xmlns:a="http://schemas.openxmlformats.org/drawingml/2006/main">
              <a:solidFill>
                <a:schemeClr val="bg1">
                  <a:lumMod val="85000"/>
                </a:schemeClr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rich>
          </tx>
          <overlay val="0"/>
        </title>
        <numFmt formatCode="0.00" sourceLinked="0"/>
        <majorTickMark val="none"/>
        <minorTickMark val="none"/>
        <tickLblPos val="nextTo"/>
        <spPr>
          <a:ln xmlns:a="http://schemas.openxmlformats.org/drawingml/2006/main">
            <a:solidFill>
              <a:schemeClr val="bg1">
                <a:lumMod val="85000"/>
              </a:schemeClr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s-MX"/>
          </a:p>
        </txPr>
        <crossAx val="815733113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s-MX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strRef>
              <f>'Decrementos Múltiples'!$I$3</f>
              <strCache>
                <ptCount val="1"/>
                <pt idx="0">
                  <v>nqx</v>
                </pt>
              </strCache>
            </strRef>
          </tx>
          <spPr>
            <a:ln xmlns:a="http://schemas.openxmlformats.org/drawingml/2006/main" cmpd="sng">
              <a:solidFill>
                <a:srgbClr val="1CADE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'Decrementos Múltiples'!$B$4:$B$22</f>
              <numCache>
                <formatCode>General</formatCode>
                <ptCount val="19"/>
                <pt idx="0">
                  <v>0</v>
                </pt>
                <pt idx="1">
                  <v>1</v>
                </pt>
                <pt idx="2">
                  <v>5</v>
                </pt>
                <pt idx="3">
                  <v>10</v>
                </pt>
                <pt idx="4">
                  <v>15</v>
                </pt>
                <pt idx="5">
                  <v>20</v>
                </pt>
                <pt idx="6">
                  <v>25</v>
                </pt>
                <pt idx="7">
                  <v>30</v>
                </pt>
                <pt idx="8">
                  <v>35</v>
                </pt>
                <pt idx="9">
                  <v>40</v>
                </pt>
                <pt idx="10">
                  <v>45</v>
                </pt>
                <pt idx="11">
                  <v>50</v>
                </pt>
                <pt idx="12">
                  <v>55</v>
                </pt>
                <pt idx="13">
                  <v>60</v>
                </pt>
                <pt idx="14">
                  <v>65</v>
                </pt>
                <pt idx="15">
                  <v>70</v>
                </pt>
                <pt idx="16">
                  <v>75</v>
                </pt>
                <pt idx="17">
                  <v>80</v>
                </pt>
                <pt idx="18">
                  <v>85</v>
                </pt>
              </numCache>
            </numRef>
          </cat>
          <val>
            <numRef>
              <f>'Decrementos Múltiples'!$I$4:$I$22</f>
              <numCache>
                <formatCode>0.0000</formatCode>
                <ptCount val="19"/>
                <pt idx="0">
                  <v>0.01355450000000002</v>
                </pt>
                <pt idx="1">
                  <v>0.001926399999999995</v>
                </pt>
                <pt idx="2">
                  <v>0.001142100000000035</v>
                </pt>
                <pt idx="3">
                  <v>0.001333899999999999</v>
                </pt>
                <pt idx="4">
                  <v>0.002385900000000052</v>
                </pt>
                <pt idx="5">
                  <v>0.00278389999999995</v>
                </pt>
                <pt idx="6">
                  <v>0.002834800000000026</v>
                </pt>
                <pt idx="7">
                  <v>0.003475099999999953</v>
                </pt>
                <pt idx="8">
                  <v>0.005236699999999983</v>
                </pt>
                <pt idx="9">
                  <v>0.008056399999999964</v>
                </pt>
                <pt idx="10">
                  <v>0.01420580000000005</v>
                </pt>
                <pt idx="11">
                  <v>0.02248600000000001</v>
                </pt>
                <pt idx="12">
                  <v>0.0364797</v>
                </pt>
                <pt idx="13">
                  <v>0.05801429999999996</v>
                </pt>
                <pt idx="14">
                  <v>0.07883850000000003</v>
                </pt>
                <pt idx="15">
                  <v>0.1205477</v>
                </pt>
                <pt idx="16">
                  <v>0.1933214</v>
                </pt>
                <pt idx="17">
                  <v>0.2984679</v>
                </pt>
                <pt idx="18">
                  <v>1</v>
                </pt>
              </numCache>
            </numRef>
          </val>
          <smooth val="0"/>
        </ser>
        <ser>
          <idx val="1"/>
          <order val="1"/>
          <tx>
            <strRef>
              <f>'Decrementos Múltiples'!$M$3</f>
              <strCache>
                <ptCount val="1"/>
                <pt idx="0">
                  <v>nqx_i</v>
                </pt>
              </strCache>
            </strRef>
          </tx>
          <spPr>
            <a:ln xmlns:a="http://schemas.openxmlformats.org/drawingml/2006/main" cmpd="sng">
              <a:solidFill>
                <a:srgbClr val="2683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'Decrementos Múltiples'!$B$4:$B$22</f>
              <numCache>
                <formatCode>General</formatCode>
                <ptCount val="19"/>
                <pt idx="0">
                  <v>0</v>
                </pt>
                <pt idx="1">
                  <v>1</v>
                </pt>
                <pt idx="2">
                  <v>5</v>
                </pt>
                <pt idx="3">
                  <v>10</v>
                </pt>
                <pt idx="4">
                  <v>15</v>
                </pt>
                <pt idx="5">
                  <v>20</v>
                </pt>
                <pt idx="6">
                  <v>25</v>
                </pt>
                <pt idx="7">
                  <v>30</v>
                </pt>
                <pt idx="8">
                  <v>35</v>
                </pt>
                <pt idx="9">
                  <v>40</v>
                </pt>
                <pt idx="10">
                  <v>45</v>
                </pt>
                <pt idx="11">
                  <v>50</v>
                </pt>
                <pt idx="12">
                  <v>55</v>
                </pt>
                <pt idx="13">
                  <v>60</v>
                </pt>
                <pt idx="14">
                  <v>65</v>
                </pt>
                <pt idx="15">
                  <v>70</v>
                </pt>
                <pt idx="16">
                  <v>75</v>
                </pt>
                <pt idx="17">
                  <v>80</v>
                </pt>
                <pt idx="18">
                  <v>85</v>
                </pt>
              </numCache>
            </numRef>
          </cat>
          <val>
            <numRef>
              <f>'Decrementos Múltiples'!$M$4:$M$22</f>
              <numCache>
                <formatCode>#,##0.0000</formatCode>
                <ptCount val="19"/>
                <pt idx="0">
                  <v>0.01350857890884105</v>
                </pt>
                <pt idx="1">
                  <v>0.001828145205796994</v>
                </pt>
                <pt idx="2">
                  <v>0.001064591294717698</v>
                </pt>
                <pt idx="3">
                  <v>0.001213208678400912</v>
                </pt>
                <pt idx="4">
                  <v>0.001844595133315918</v>
                </pt>
                <pt idx="5">
                  <v>0.002077088384044856</v>
                </pt>
                <pt idx="6">
                  <v>0.002092628555432019</v>
                </pt>
                <pt idx="7">
                  <v>0.002617645501105326</v>
                </pt>
                <pt idx="8">
                  <v>0.004353278765016011</v>
                </pt>
                <pt idx="9">
                  <v>0.00704830901304232</v>
                </pt>
                <pt idx="10">
                  <v>0.01319316938216974</v>
                </pt>
                <pt idx="11">
                  <v>0.02151952076891483</v>
                </pt>
                <pt idx="12">
                  <v>0.0356033933438461</v>
                </pt>
                <pt idx="13">
                  <v>0.05699293163665131</v>
                </pt>
                <pt idx="14">
                  <v>0.07809358810111067</v>
                </pt>
                <pt idx="15">
                  <v>0.1198557190283982</v>
                </pt>
                <pt idx="16">
                  <v>0.1928032103063692</v>
                </pt>
                <pt idx="17">
                  <v>0.2979702288903363</v>
                </pt>
                <pt idx="18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815733113"/>
        <axId val="33690205"/>
      </lineChart>
      <catAx>
        <axId val="81573311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s-MX"/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solidFill>
              <a:schemeClr val="bg1">
                <a:lumMod val="85000"/>
              </a:schemeClr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s-MX"/>
          </a:p>
        </txPr>
        <crossAx val="33690205"/>
        <crosses val="autoZero"/>
        <auto val="1"/>
        <lblAlgn val="ctr"/>
        <lblOffset val="100"/>
        <noMultiLvlLbl val="1"/>
      </catAx>
      <valAx>
        <axId val="33690205"/>
        <scaling>
          <logBase val="10"/>
          <orientation val="minMax"/>
          <max val="1"/>
          <min val="0.0008000000000000003"/>
        </scaling>
        <delete val="0"/>
        <axPos val="l"/>
        <majorGridlines>
          <spPr>
            <a:ln xmlns:a="http://schemas.openxmlformats.org/drawingml/2006/main">
              <a:solidFill>
                <a:schemeClr val="bg1">
                  <a:lumMod val="85000"/>
                </a:schemeClr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rich>
          </tx>
          <overlay val="0"/>
        </title>
        <numFmt formatCode="0.00" sourceLinked="0"/>
        <majorTickMark val="none"/>
        <minorTickMark val="none"/>
        <tickLblPos val="nextTo"/>
        <spPr>
          <a:ln xmlns:a="http://schemas.openxmlformats.org/drawingml/2006/main">
            <a:solidFill>
              <a:schemeClr val="bg1">
                <a:lumMod val="85000"/>
              </a:schemeClr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s-MX"/>
          </a:p>
        </txPr>
        <crossAx val="815733113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 rt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s-MX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MX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'Decrementos Múltiples'!$Z$27</f>
              <strCache>
                <ptCount val="1"/>
                <pt idx="0">
                  <v>Sin homicidios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'Decrementos Múltiples'!$AA$26:$AB$26</f>
              <strCache>
                <ptCount val="2"/>
                <pt idx="0">
                  <v>Hombres</v>
                </pt>
                <pt idx="1">
                  <v>Mujeres</v>
                </pt>
              </strCache>
            </strRef>
          </cat>
          <val>
            <numRef>
              <f>'Decrementos Múltiples'!$AA$27:$AB$27</f>
              <numCache>
                <formatCode>0.00</formatCode>
                <ptCount val="2"/>
                <pt idx="0">
                  <v>78.19716323519486</v>
                </pt>
                <pt idx="1">
                  <v>79.05653420323573</v>
                </pt>
              </numCache>
            </numRef>
          </val>
        </ser>
        <ser>
          <idx val="1"/>
          <order val="1"/>
          <tx>
            <strRef>
              <f>'Decrementos Múltiples'!$Z$28</f>
              <strCache>
                <ptCount val="1"/>
                <pt idx="0">
                  <v>Con homicidios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MX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'Decrementos Múltiples'!$AA$26:$AB$26</f>
              <strCache>
                <ptCount val="2"/>
                <pt idx="0">
                  <v>Hombres</v>
                </pt>
                <pt idx="1">
                  <v>Mujeres</v>
                </pt>
              </strCache>
            </strRef>
          </cat>
          <val>
            <numRef>
              <f>'Decrementos Múltiples'!$AA$28:$AB$28</f>
              <numCache>
                <formatCode>0.00</formatCode>
                <ptCount val="2"/>
                <pt idx="0">
                  <v>77.76430499999999</v>
                </pt>
                <pt idx="1">
                  <v>78.854511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65771184"/>
        <axId val="1065771544"/>
      </barChart>
      <catAx>
        <axId val="10657711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MX"/>
          </a:p>
        </txPr>
        <crossAx val="1065771544"/>
        <crosses val="autoZero"/>
        <auto val="1"/>
        <lblAlgn val="ctr"/>
        <lblOffset val="100"/>
        <noMultiLvlLbl val="0"/>
      </catAx>
      <valAx>
        <axId val="1065771544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crossAx val="10657711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MX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Relationship Type="http://schemas.openxmlformats.org/officeDocument/2006/relationships/image" Target="/xl/media/image2.png" Id="rId5"/><Relationship Type="http://schemas.openxmlformats.org/officeDocument/2006/relationships/image" Target="/xl/media/image3.png" Id="rId6"/><Relationship Type="http://schemas.openxmlformats.org/officeDocument/2006/relationships/image" Target="/xl/media/image4.png" Id="rId7"/><Relationship Type="http://schemas.openxmlformats.org/officeDocument/2006/relationships/image" Target="/xl/media/image5.png" Id="rId8"/><Relationship Type="http://schemas.openxmlformats.org/officeDocument/2006/relationships/image" Target="/xl/media/image6.png" Id="rId9"/><Relationship Type="http://schemas.openxmlformats.org/officeDocument/2006/relationships/image" Target="/xl/media/image7.png" Id="rId10"/><Relationship Type="http://schemas.openxmlformats.org/officeDocument/2006/relationships/image" Target="/xl/media/image8.png" Id="rId11"/><Relationship Type="http://schemas.openxmlformats.org/officeDocument/2006/relationships/image" Target="/xl/media/image9.png" Id="rId12"/><Relationship Type="http://schemas.openxmlformats.org/officeDocument/2006/relationships/image" Target="/xl/media/image10.png" Id="rId13"/><Relationship Type="http://schemas.openxmlformats.org/officeDocument/2006/relationships/image" Target="/xl/media/image11.png" Id="rId14"/><Relationship Type="http://schemas.openxmlformats.org/officeDocument/2006/relationships/image" Target="/xl/media/image12.png" Id="rId15"/><Relationship Type="http://schemas.openxmlformats.org/officeDocument/2006/relationships/image" Target="/xl/media/image13.png" Id="rId16"/><Relationship Type="http://schemas.openxmlformats.org/officeDocument/2006/relationships/image" Target="/xl/media/image14.png" Id="rId17"/><Relationship Type="http://schemas.openxmlformats.org/officeDocument/2006/relationships/image" Target="/xl/media/image15.png" Id="rId18"/><Relationship Type="http://schemas.openxmlformats.org/officeDocument/2006/relationships/image" Target="/xl/media/image16.png" Id="rId19"/><Relationship Type="http://schemas.openxmlformats.org/officeDocument/2006/relationships/image" Target="/xl/media/image17.png" Id="rId20"/><Relationship Type="http://schemas.openxmlformats.org/officeDocument/2006/relationships/image" Target="/xl/media/image18.png" Id="rId21"/></Relationships>
</file>

<file path=xl/drawings/drawing1.xml><?xml version="1.0" encoding="utf-8"?>
<wsDr xmlns="http://schemas.openxmlformats.org/drawingml/2006/spreadsheetDrawing">
  <twoCellAnchor>
    <from>
      <col>26</col>
      <colOff>514560</colOff>
      <row>31</row>
      <rowOff>91440</rowOff>
    </from>
    <to>
      <col>32</col>
      <colOff>744220</colOff>
      <row>47</row>
      <rowOff>33021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oneCellAnchor>
    <from>
      <col>30</col>
      <colOff>688976</colOff>
      <row>2</row>
      <rowOff>24955</rowOff>
    </from>
    <ext cx="5696712" cy="4636008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23</col>
      <colOff>841374</colOff>
      <row>2</row>
      <rowOff>0</rowOff>
    </from>
    <ext cx="5699126" cy="46355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</col>
      <colOff>349250</colOff>
      <row>25</row>
      <rowOff>66675</rowOff>
    </from>
    <ext cx="323850" cy="266700"/>
    <pic>
      <nvPicPr>
        <cNvPr id="4" name="image9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397500" y="8905875"/>
          <a:ext cx="3238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419100</colOff>
      <row>25</row>
      <rowOff>71438</rowOff>
    </from>
    <ext cx="171450" cy="257175"/>
    <pic>
      <nvPicPr>
        <cNvPr id="5" name="image8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6477000" y="8910638"/>
          <a:ext cx="171450" cy="257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304800</colOff>
      <row>25</row>
      <rowOff>71438</rowOff>
    </from>
    <ext cx="381000" cy="257175"/>
    <pic>
      <nvPicPr>
        <cNvPr id="6" name="image6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7372350" y="8910638"/>
          <a:ext cx="381000" cy="257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330200</colOff>
      <row>25</row>
      <rowOff>71438</rowOff>
    </from>
    <ext cx="381000" cy="257175"/>
    <pic>
      <nvPicPr>
        <cNvPr id="7" name="image7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9417050" y="8910638"/>
          <a:ext cx="381000" cy="257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330200</colOff>
      <row>25</row>
      <rowOff>71438</rowOff>
    </from>
    <ext cx="352425" cy="257175"/>
    <pic>
      <nvPicPr>
        <cNvPr id="8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0426700" y="8910638"/>
          <a:ext cx="352425" cy="257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292100</colOff>
      <row>25</row>
      <rowOff>66675</rowOff>
    </from>
    <ext cx="476250" cy="266700"/>
    <pic>
      <nvPicPr>
        <cNvPr id="9" name="image5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1398250" y="8905875"/>
          <a:ext cx="4762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292100</colOff>
      <row>25</row>
      <rowOff>66675</rowOff>
    </from>
    <ext cx="390525" cy="266700"/>
    <pic>
      <nvPicPr>
        <cNvPr id="10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417550" y="8905875"/>
          <a:ext cx="3905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15</col>
      <colOff>292100</colOff>
      <row>25</row>
      <rowOff>66675</rowOff>
    </from>
    <ext cx="476250" cy="266700"/>
    <pic>
      <nvPicPr>
        <cNvPr id="11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5436850" y="8905875"/>
          <a:ext cx="4762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18</col>
      <colOff>254000</colOff>
      <row>25</row>
      <rowOff>66675</rowOff>
    </from>
    <ext cx="428625" cy="266700"/>
    <pic>
      <nvPicPr>
        <cNvPr id="1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8427700" y="8905875"/>
          <a:ext cx="4286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342900</colOff>
      <row>2</row>
      <rowOff>74613</rowOff>
    </from>
    <ext cx="381000" cy="257175"/>
    <pic>
      <nvPicPr>
        <cNvPr id="21" name="image7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9429750" y="4678363"/>
          <a:ext cx="381000" cy="257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304800</colOff>
      <row>2</row>
      <rowOff>74613</rowOff>
    </from>
    <ext cx="352425" cy="257175"/>
    <pic>
      <nvPicPr>
        <cNvPr id="22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0401300" y="4678363"/>
          <a:ext cx="352425" cy="257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381000</colOff>
      <row>2</row>
      <rowOff>69850</rowOff>
    </from>
    <ext cx="323850" cy="266700"/>
    <pic>
      <nvPicPr>
        <cNvPr id="23" name="image9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5429250" y="4673600"/>
          <a:ext cx="3238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374650</colOff>
      <row>2</row>
      <rowOff>74613</rowOff>
    </from>
    <ext cx="171450" cy="257175"/>
    <pic>
      <nvPicPr>
        <cNvPr id="24" name="image8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6432550" y="4678363"/>
          <a:ext cx="171450" cy="257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349250</colOff>
      <row>2</row>
      <rowOff>74613</rowOff>
    </from>
    <ext cx="381000" cy="257175"/>
    <pic>
      <nvPicPr>
        <cNvPr id="25" name="image6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7416800" y="4678363"/>
          <a:ext cx="381000" cy="257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317500</colOff>
      <row>2</row>
      <rowOff>57150</rowOff>
    </from>
    <ext cx="476250" cy="266700"/>
    <pic>
      <nvPicPr>
        <cNvPr id="26" name="image5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1423650" y="4660900"/>
          <a:ext cx="4762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342900</colOff>
      <row>2</row>
      <rowOff>57150</rowOff>
    </from>
    <ext cx="390525" cy="266700"/>
    <pic>
      <nvPicPr>
        <cNvPr id="27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3468350" y="4660900"/>
          <a:ext cx="3905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15</col>
      <colOff>317500</colOff>
      <row>2</row>
      <rowOff>57150</rowOff>
    </from>
    <ext cx="476250" cy="266700"/>
    <pic>
      <nvPicPr>
        <cNvPr id="28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5462250" y="4660900"/>
          <a:ext cx="4762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18</col>
      <colOff>317500</colOff>
      <row>2</row>
      <rowOff>57150</rowOff>
    </from>
    <ext cx="428625" cy="266700"/>
    <pic>
      <nvPicPr>
        <cNvPr id="29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8491200" y="4660900"/>
          <a:ext cx="4286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redescolmex-my.sharepoint.com/personal/agpena_colmex_mx/Documents/DEP_22_26/7mo%20semestre/UNAM/Ejercicios/Excel/4.%20TV-COVID-2020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demographicestimation.iussp.org/content/indirect-estimation-child-mortality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showRowColHeaders="0" topLeftCell="A4" workbookViewId="0">
      <selection activeCell="A4" sqref="A4:B4"/>
    </sheetView>
  </sheetViews>
  <sheetFormatPr baseColWidth="10" defaultColWidth="8.77734375" defaultRowHeight="15.6"/>
  <cols>
    <col width="4" customWidth="1" min="1" max="1"/>
    <col width="75.109375" customWidth="1" min="2" max="2"/>
    <col width="27.77734375" customWidth="1" style="7" min="3" max="3"/>
    <col width="8.44140625" customWidth="1" style="7" min="4" max="5"/>
    <col width="8.77734375" customWidth="1" style="7" min="6" max="6"/>
  </cols>
  <sheetData>
    <row r="1" ht="41.25" customHeight="1">
      <c r="A1" s="180" t="inlineStr">
        <is>
          <t>Estimation of child mortality using data on children ever born and children surviving - Instructions</t>
        </is>
      </c>
      <c r="B1" s="181" t="n"/>
    </row>
    <row r="3">
      <c r="A3" s="11" t="inlineStr">
        <is>
          <t xml:space="preserve">This method is described at: </t>
        </is>
      </c>
      <c r="B3" s="11" t="n"/>
    </row>
    <row r="4">
      <c r="A4" s="182" t="inlineStr">
        <is>
          <t>http://demographicestimation.iussp.org/content/indirect-estimation-child-mortality</t>
        </is>
      </c>
      <c r="B4" s="183" t="n"/>
      <c r="C4" s="18" t="n"/>
    </row>
    <row r="5">
      <c r="A5" s="1" t="n"/>
      <c r="B5" s="2" t="n"/>
    </row>
    <row r="6" ht="50.25" customHeight="1">
      <c r="A6" s="158" t="inlineStr">
        <is>
          <t>This spreadsheet estimates child mortality from data on the mean number of children ever born and surviving by age of mother, the duration since first birth, or duration since marriage.</t>
        </is>
      </c>
    </row>
    <row r="7">
      <c r="A7" s="1" t="n"/>
      <c r="B7" s="2" t="n"/>
    </row>
    <row r="8" ht="16.2" customHeight="1" thickBot="1">
      <c r="A8" s="3" t="inlineStr">
        <is>
          <t>Set input parameters</t>
        </is>
      </c>
      <c r="B8" s="2" t="n"/>
    </row>
    <row r="9">
      <c r="A9" s="4" t="n">
        <v>1</v>
      </c>
      <c r="B9" s="5" t="inlineStr">
        <is>
          <t>Enter the country name and data descriptor in the green cell to the right.</t>
        </is>
      </c>
      <c r="C9" s="8" t="inlineStr">
        <is>
          <t>Country</t>
        </is>
      </c>
      <c r="D9" s="184" t="inlineStr">
        <is>
          <t>México</t>
        </is>
      </c>
      <c r="E9" s="185" t="n"/>
      <c r="F9" s="186" t="n"/>
    </row>
    <row r="10">
      <c r="A10" s="6" t="n"/>
      <c r="B10" s="2" t="n"/>
      <c r="C10" s="9" t="n"/>
      <c r="D10" s="149" t="n"/>
      <c r="F10" s="187" t="n"/>
    </row>
    <row r="11" ht="16.2" customHeight="1" thickBot="1">
      <c r="A11" s="2" t="n">
        <v>2</v>
      </c>
      <c r="B11" s="2" t="inlineStr">
        <is>
          <t>Record the date of the inquiry in the green cell to the right.</t>
        </is>
      </c>
      <c r="C11" s="10" t="inlineStr">
        <is>
          <t>Census date</t>
        </is>
      </c>
      <c r="D11" s="188" t="n">
        <v>43891</v>
      </c>
      <c r="E11" s="189" t="n"/>
      <c r="F11" s="190" t="n"/>
    </row>
    <row r="12">
      <c r="A12" s="6" t="n"/>
      <c r="B12" s="2" t="n"/>
    </row>
    <row r="13" ht="16.2" customHeight="1" thickBot="1">
      <c r="A13" s="6" t="n"/>
      <c r="B13" s="2" t="n"/>
    </row>
    <row r="14" ht="16.2" customHeight="1" thickBot="1">
      <c r="A14" s="5" t="n">
        <v>3</v>
      </c>
      <c r="B14" s="2" t="inlineStr">
        <is>
          <t xml:space="preserve">Specify the variant of the model to be fitted. </t>
        </is>
      </c>
      <c r="C14" s="12" t="inlineStr">
        <is>
          <t>Variant of method</t>
        </is>
      </c>
      <c r="D14" s="191" t="inlineStr">
        <is>
          <t>Age of mother</t>
        </is>
      </c>
      <c r="E14" s="192" t="n"/>
      <c r="F14" s="193" t="n"/>
    </row>
    <row r="16" ht="16.2" customHeight="1" thickBot="1">
      <c r="D16" s="14" t="n"/>
      <c r="E16" s="14" t="n"/>
      <c r="F16" s="14" t="n"/>
    </row>
    <row r="17">
      <c r="A17" s="1" t="n">
        <v>4</v>
      </c>
      <c r="B17" s="2" t="inlineStr">
        <is>
          <t>Set the mortality parameters for the method in the green cells to the right.</t>
        </is>
      </c>
      <c r="C17" s="8" t="inlineStr">
        <is>
          <t>Family of model life tables</t>
        </is>
      </c>
      <c r="D17" s="194" t="inlineStr">
        <is>
          <t>Princeton</t>
        </is>
      </c>
      <c r="E17" s="185" t="n"/>
      <c r="F17" s="186" t="n"/>
    </row>
    <row r="18">
      <c r="C18" s="9" t="inlineStr">
        <is>
          <t>Mortality pattern</t>
        </is>
      </c>
      <c r="D18" s="195" t="inlineStr">
        <is>
          <t>West</t>
        </is>
      </c>
      <c r="E18" s="183" t="n"/>
      <c r="F18" s="196" t="n"/>
    </row>
    <row r="19" ht="7.5" customHeight="1">
      <c r="C19" s="13" t="n"/>
      <c r="F19" s="17" t="n"/>
    </row>
    <row r="20">
      <c r="C20" s="15" t="inlineStr">
        <is>
          <t>Sex</t>
        </is>
      </c>
      <c r="D20" s="164" t="inlineStr">
        <is>
          <t>Both</t>
        </is>
      </c>
      <c r="E20" s="183" t="n"/>
      <c r="F20" s="196" t="n"/>
    </row>
    <row r="21" ht="16.2" customHeight="1" thickBot="1">
      <c r="C21" s="16" t="inlineStr">
        <is>
          <t>Mean age of childbearing</t>
        </is>
      </c>
      <c r="D21" s="197" t="n">
        <v>28</v>
      </c>
      <c r="E21" s="189" t="n"/>
      <c r="F21" s="190" t="n"/>
    </row>
    <row r="23" ht="30.75" customHeight="1">
      <c r="A23" s="25" t="n">
        <v>5</v>
      </c>
      <c r="B23" s="2" t="inlineStr">
        <is>
          <t>Place the mean number of children ever born, tabulated according to the variant of the model in cells B5:B11 of the Method sheet.</t>
        </is>
      </c>
      <c r="C23" s="145">
        <f>IF(ISNA(VLOOKUP(VALUE(RIGHT(Coefficients!AM5,3)),Coefficients!$AI$34:$AI$50,1,FALSE)),"INVALID SELECTION - Please ensure that your choice of variant; family and pattern are consistent.","")</f>
        <v/>
      </c>
    </row>
    <row r="24">
      <c r="A24" s="1" t="n"/>
      <c r="B24" s="2" t="n"/>
      <c r="C24" s="19" t="n"/>
      <c r="D24" s="19" t="n"/>
      <c r="E24" s="19" t="n"/>
      <c r="F24" s="19" t="n"/>
    </row>
    <row r="25" ht="30.6" customHeight="1">
      <c r="A25" s="25" t="n">
        <v>6</v>
      </c>
      <c r="B25" s="2" t="inlineStr">
        <is>
          <t>Place the mean number of children surviving, tabulated according to the variant of the model in cells C5:C11 of the Method sheet.</t>
        </is>
      </c>
      <c r="C25" s="19" t="n"/>
      <c r="D25" s="19" t="n"/>
      <c r="E25" s="19" t="n"/>
      <c r="F25" s="19" t="n"/>
    </row>
    <row r="26">
      <c r="A26" s="1" t="n"/>
      <c r="B26" s="2" t="n"/>
    </row>
    <row r="27">
      <c r="A27" s="3" t="inlineStr">
        <is>
          <t>Results</t>
        </is>
      </c>
      <c r="B27" s="2" t="n"/>
    </row>
    <row r="28" ht="31.2" customHeight="1">
      <c r="A28" s="1" t="n"/>
      <c r="B28" s="2" t="inlineStr">
        <is>
          <t>Estimates of infant mortality, q(1), and child mortality, q(5), are located in cells L5:M10 of the Method sheet.</t>
        </is>
      </c>
    </row>
    <row r="29" ht="31.2" customHeight="1">
      <c r="A29" s="1" t="n"/>
      <c r="B29" s="2" t="inlineStr">
        <is>
          <t>Time locations of these estimates are located in cells K5:K10 of the  Method sheet.</t>
        </is>
      </c>
    </row>
    <row r="30">
      <c r="A30" s="1" t="n"/>
      <c r="B30" s="2" t="n"/>
    </row>
    <row r="31">
      <c r="A31" s="1" t="n"/>
      <c r="B31" s="2" t="n"/>
    </row>
    <row r="32">
      <c r="A32" s="1" t="n"/>
      <c r="B32" s="2" t="n"/>
    </row>
    <row r="33">
      <c r="A33" s="1" t="n"/>
      <c r="B33" s="2" t="n"/>
    </row>
    <row r="34">
      <c r="A34" s="1" t="n"/>
      <c r="B34" s="2" t="n"/>
    </row>
    <row r="35">
      <c r="A35" s="1" t="n"/>
      <c r="B35" s="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12">
    <mergeCell ref="A4:B4"/>
    <mergeCell ref="D11:F11"/>
    <mergeCell ref="C23:F23"/>
    <mergeCell ref="D14:F14"/>
    <mergeCell ref="D18:F18"/>
    <mergeCell ref="D9:F9"/>
    <mergeCell ref="D17:F17"/>
    <mergeCell ref="A1:B1"/>
    <mergeCell ref="D21:F21"/>
    <mergeCell ref="D20:F20"/>
    <mergeCell ref="A6:B6"/>
    <mergeCell ref="D10:F10"/>
  </mergeCells>
  <conditionalFormatting sqref="C21:D21">
    <cfRule type="expression" priority="1" dxfId="0">
      <formula>FamSelect=1</formula>
    </cfRule>
  </conditionalFormatting>
  <dataValidations xWindow="930" yWindow="429" count="7">
    <dataValidation sqref="D17" showDropDown="0" showInputMessage="1" showErrorMessage="1" allowBlank="1" type="list">
      <formula1>Family</formula1>
    </dataValidation>
    <dataValidation sqref="F11" showDropDown="0" showInputMessage="1" showErrorMessage="1" allowBlank="0" type="date">
      <formula1>18264</formula1>
      <formula2>54788</formula2>
    </dataValidation>
    <dataValidation sqref="D20" showDropDown="0" showInputMessage="1" showErrorMessage="1" allowBlank="1" type="list">
      <formula1>Sex</formula1>
    </dataValidation>
    <dataValidation sqref="F25" showDropDown="0" showInputMessage="1" showErrorMessage="1" allowBlank="1" type="decimal">
      <formula1>99</formula1>
      <formula2>110</formula2>
    </dataValidation>
    <dataValidation sqref="D14:F14" showDropDown="0" showInputMessage="1" showErrorMessage="1" allowBlank="1" promptTitle="Variant of method" prompt="Usually this is by age of mother; but models based on duration since first birth, or duration since marriage can also be fitted. The last two models can be fitted ONLY using the Princeton life tables." type="list">
      <formula1>Variant</formula1>
    </dataValidation>
    <dataValidation sqref="D18:F18" showDropDown="0" showInputMessage="1" showErrorMessage="1" allowBlank="0" type="list">
      <formula1>IF(FamSelect=1,Princeton,UN)</formula1>
    </dataValidation>
    <dataValidation sqref="A4" showDropDown="1" showInputMessage="1" showErrorMessage="1" allowBlank="0" type="list">
      <formula1>"http://demographicestimation.iussp.org/content/indirect-estimation-child-mortality"</formula1>
    </dataValidation>
  </dataValidations>
  <hyperlinks>
    <hyperlink xmlns:r="http://schemas.openxmlformats.org/officeDocument/2006/relationships" ref="A4" r:id="rId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01"/>
  <sheetViews>
    <sheetView topLeftCell="AE1" workbookViewId="0">
      <pane ySplit="3" topLeftCell="A4" activePane="bottomLeft" state="frozenSplit"/>
      <selection pane="bottomLeft" activeCell="AM10" sqref="AM10"/>
    </sheetView>
  </sheetViews>
  <sheetFormatPr baseColWidth="10" defaultColWidth="9.109375" defaultRowHeight="12.75" customHeight="1"/>
  <cols>
    <col width="8.44140625" customWidth="1" style="20" min="1" max="1"/>
    <col width="3" bestFit="1" customWidth="1" style="20" min="2" max="2"/>
    <col width="8.44140625" customWidth="1" style="20" min="3" max="6"/>
    <col width="1.44140625" customWidth="1" style="20" min="7" max="7"/>
    <col width="8.44140625" customWidth="1" style="20" min="8" max="10"/>
    <col width="2.77734375" customWidth="1" style="20" min="11" max="11"/>
    <col width="8.44140625" bestFit="1" customWidth="1" style="20" min="12" max="12"/>
    <col width="3" bestFit="1" customWidth="1" style="20" min="13" max="13"/>
    <col width="8.44140625" customWidth="1" style="20" min="14" max="16"/>
    <col width="1.44140625" customWidth="1" style="20" min="17" max="18"/>
    <col width="8.44140625" customWidth="1" style="20" min="19" max="21"/>
    <col width="2.77734375" customWidth="1" style="20" min="22" max="22"/>
    <col width="8.44140625" bestFit="1" customWidth="1" style="20" min="23" max="23"/>
    <col width="3" bestFit="1" customWidth="1" style="20" min="24" max="24"/>
    <col width="8.44140625" customWidth="1" style="20" min="25" max="27"/>
    <col width="1.44140625" customWidth="1" style="20" min="28" max="29"/>
    <col width="8.44140625" customWidth="1" style="20" min="30" max="32"/>
    <col width="9.109375" customWidth="1" style="20" min="33" max="33"/>
    <col width="3.109375" customWidth="1" style="20" min="34" max="34"/>
    <col width="22.77734375" bestFit="1" customWidth="1" style="20" min="35" max="35"/>
    <col width="9.109375" customWidth="1" style="20" min="36" max="36"/>
    <col width="3.109375" customWidth="1" style="20" min="37" max="37"/>
    <col width="2" bestFit="1" customWidth="1" style="20" min="38" max="38"/>
    <col width="8.109375" customWidth="1" style="20" min="39" max="39"/>
    <col width="8.77734375" bestFit="1" customWidth="1" style="20" min="40" max="40"/>
    <col width="8.109375" customWidth="1" style="20" min="41" max="42"/>
    <col width="1.44140625" customWidth="1" style="20" min="43" max="43"/>
    <col width="8.109375" customWidth="1" style="20" min="44" max="46"/>
    <col width="9.109375" customWidth="1" style="20" min="47" max="16384"/>
  </cols>
  <sheetData>
    <row r="1" ht="15" customFormat="1" customHeight="1" s="24">
      <c r="A1" s="167" t="inlineStr">
        <is>
          <t>BY AGE OF MOTHER</t>
        </is>
      </c>
      <c r="L1" s="167" t="inlineStr">
        <is>
          <t>BY DURATION SINCE FIRST BIRTH</t>
        </is>
      </c>
      <c r="W1" s="167" t="inlineStr">
        <is>
          <t>BY DURATION SINCE MARRIAGE</t>
        </is>
      </c>
    </row>
    <row r="2" ht="15" customFormat="1" customHeight="1" s="24"/>
    <row r="3" ht="15" customFormat="1" customHeight="1" s="24">
      <c r="C3" s="167" t="inlineStr">
        <is>
          <t>Conversion of D into q</t>
        </is>
      </c>
      <c r="H3" s="167" t="inlineStr">
        <is>
          <t>Time location</t>
        </is>
      </c>
      <c r="N3" s="167" t="inlineStr">
        <is>
          <t>Conversion of D into q</t>
        </is>
      </c>
      <c r="S3" s="167" t="inlineStr">
        <is>
          <t>Time location</t>
        </is>
      </c>
      <c r="Y3" s="167" t="inlineStr">
        <is>
          <t>Conversion of D into q</t>
        </is>
      </c>
      <c r="AD3" s="167" t="inlineStr">
        <is>
          <t>Time location</t>
        </is>
      </c>
    </row>
    <row r="4" ht="15" customFormat="1" customHeight="1" s="24">
      <c r="A4" s="168" t="inlineStr">
        <is>
          <t>Princeton - North</t>
        </is>
      </c>
      <c r="J4" s="198" t="n"/>
      <c r="L4" s="34" t="n"/>
      <c r="M4" s="47" t="n"/>
      <c r="N4" s="171" t="inlineStr">
        <is>
          <t>Princeton - North</t>
        </is>
      </c>
      <c r="O4" s="199" t="n"/>
      <c r="P4" s="199" t="n"/>
      <c r="Q4" s="199" t="n"/>
      <c r="R4" s="199" t="n"/>
      <c r="S4" s="199" t="n"/>
      <c r="T4" s="199" t="n"/>
      <c r="U4" s="200" t="n"/>
      <c r="W4" s="34" t="n"/>
      <c r="X4" s="47" t="n"/>
      <c r="Y4" s="171" t="inlineStr">
        <is>
          <t>Princeton - North</t>
        </is>
      </c>
      <c r="Z4" s="199" t="n"/>
      <c r="AA4" s="199" t="n"/>
      <c r="AB4" s="199" t="n"/>
      <c r="AC4" s="199" t="n"/>
      <c r="AD4" s="199" t="n"/>
      <c r="AE4" s="199" t="n"/>
      <c r="AF4" s="200" t="n"/>
      <c r="AG4" s="30" t="n"/>
      <c r="AM4" s="31" t="n"/>
      <c r="AN4" s="31" t="n"/>
      <c r="AO4" s="31" t="n"/>
      <c r="AP4" s="32" t="n"/>
      <c r="AQ4" s="33" t="n"/>
      <c r="AR4" s="31" t="n"/>
      <c r="AS4" s="31" t="n"/>
      <c r="AT4" s="31" t="n"/>
    </row>
    <row r="5" ht="15" customFormat="1" customHeight="1" s="24">
      <c r="A5" s="51" t="inlineStr">
        <is>
          <t>Age</t>
        </is>
      </c>
      <c r="B5" s="52" t="inlineStr">
        <is>
          <t>x</t>
        </is>
      </c>
      <c r="C5" s="26" t="inlineStr">
        <is>
          <t>a(x,j)</t>
        </is>
      </c>
      <c r="D5" s="26" t="inlineStr">
        <is>
          <t>b(x,j)</t>
        </is>
      </c>
      <c r="E5" s="26" t="inlineStr">
        <is>
          <t>c(x,j)</t>
        </is>
      </c>
      <c r="F5" s="26" t="inlineStr">
        <is>
          <t>d(x,j)</t>
        </is>
      </c>
      <c r="G5" s="26" t="n"/>
      <c r="H5" s="26" t="inlineStr">
        <is>
          <t>e(x,j)</t>
        </is>
      </c>
      <c r="I5" s="26" t="inlineStr">
        <is>
          <t>f(x,j)</t>
        </is>
      </c>
      <c r="J5" s="53" t="inlineStr">
        <is>
          <t>g(x,j)</t>
        </is>
      </c>
      <c r="L5" s="51" t="inlineStr">
        <is>
          <t>Duration</t>
        </is>
      </c>
      <c r="M5" s="52" t="inlineStr">
        <is>
          <t>x</t>
        </is>
      </c>
      <c r="N5" s="26" t="inlineStr">
        <is>
          <t>a(x,j)</t>
        </is>
      </c>
      <c r="O5" s="26" t="inlineStr">
        <is>
          <t>b(x,j)</t>
        </is>
      </c>
      <c r="P5" s="26" t="inlineStr">
        <is>
          <t>c(x,j)</t>
        </is>
      </c>
      <c r="Q5" s="26" t="n"/>
      <c r="R5" s="26" t="n"/>
      <c r="S5" s="26" t="inlineStr">
        <is>
          <t>e(x,j)</t>
        </is>
      </c>
      <c r="T5" s="26" t="inlineStr">
        <is>
          <t>f(x,j)</t>
        </is>
      </c>
      <c r="U5" s="53" t="inlineStr">
        <is>
          <t>g(x,j)</t>
        </is>
      </c>
      <c r="W5" s="51" t="inlineStr">
        <is>
          <t>Duration</t>
        </is>
      </c>
      <c r="X5" s="52" t="inlineStr">
        <is>
          <t>x</t>
        </is>
      </c>
      <c r="Y5" s="26" t="inlineStr">
        <is>
          <t>a(x,j)</t>
        </is>
      </c>
      <c r="Z5" s="26" t="inlineStr">
        <is>
          <t>b(x,j)</t>
        </is>
      </c>
      <c r="AA5" s="26" t="inlineStr">
        <is>
          <t>c(x,j)</t>
        </is>
      </c>
      <c r="AB5" s="26" t="n"/>
      <c r="AC5" s="26" t="n"/>
      <c r="AD5" s="26" t="inlineStr">
        <is>
          <t>e(x,j)</t>
        </is>
      </c>
      <c r="AE5" s="26" t="inlineStr">
        <is>
          <t>f(x,j)</t>
        </is>
      </c>
      <c r="AF5" s="53" t="inlineStr">
        <is>
          <t>g(x,j)</t>
        </is>
      </c>
      <c r="AH5" s="201">
        <f>Introduction!D9&amp;" "&amp;TEXT(YEAR(Introduction!D11),"####")</f>
        <v/>
      </c>
      <c r="AL5" s="20" t="n"/>
      <c r="AM5" s="167">
        <f>"Coeffs_"&amp;TEXT(100*AJ8+10*AJ12+AJ23,0)</f>
        <v/>
      </c>
    </row>
    <row r="6" ht="12.75" customHeight="1">
      <c r="A6" s="36" t="inlineStr">
        <is>
          <t>15-19</t>
        </is>
      </c>
      <c r="B6" s="20" t="n">
        <v>1</v>
      </c>
      <c r="C6" s="20" t="n">
        <v>1.1119</v>
      </c>
      <c r="D6" s="20" t="n">
        <v>-2.9287</v>
      </c>
      <c r="E6" s="20" t="n">
        <v>0.8507</v>
      </c>
      <c r="H6" s="21" t="n">
        <v>1.0921</v>
      </c>
      <c r="I6" s="21" t="n">
        <v>5.4732</v>
      </c>
      <c r="J6" s="37" t="n">
        <v>-1.9672</v>
      </c>
      <c r="L6" s="36" t="inlineStr">
        <is>
          <t>0-4</t>
        </is>
      </c>
      <c r="M6" s="20" t="n">
        <v>2</v>
      </c>
      <c r="N6" s="21" t="n">
        <v>1.198</v>
      </c>
      <c r="O6" s="21" t="n">
        <v>-0.1266</v>
      </c>
      <c r="P6" s="21" t="n">
        <v>0.0038</v>
      </c>
      <c r="Q6" s="21" t="n"/>
      <c r="S6" s="21" t="n">
        <v>1.71</v>
      </c>
      <c r="T6" s="21" t="n">
        <v>1.07</v>
      </c>
      <c r="U6" s="37" t="n">
        <v>-0.35</v>
      </c>
      <c r="W6" s="36" t="inlineStr">
        <is>
          <t>0-4</t>
        </is>
      </c>
      <c r="X6" s="20" t="n">
        <v>2</v>
      </c>
      <c r="Y6" s="20" t="n">
        <v>1.2615</v>
      </c>
      <c r="Z6" s="20" t="n">
        <v>-0.534</v>
      </c>
      <c r="AA6" s="20" t="n">
        <v>0.1252</v>
      </c>
      <c r="AD6" s="20" t="n">
        <v>1.0311</v>
      </c>
      <c r="AE6" s="20" t="n">
        <v>1.3149</v>
      </c>
      <c r="AF6" s="42" t="n">
        <v>-0.3282</v>
      </c>
      <c r="AH6" s="202" t="inlineStr">
        <is>
          <t>Census date</t>
        </is>
      </c>
      <c r="AI6" s="202" t="n"/>
      <c r="AJ6" s="203">
        <f>YEAR(Introduction!D11)+YEARFRAC(DATE(YEAR(Introduction!D11)-1,12,31), Introduction!D11,1)</f>
        <v/>
      </c>
      <c r="AL6" s="45" t="n"/>
      <c r="AM6" s="59" t="n">
        <v>0</v>
      </c>
      <c r="AN6" s="60" t="n">
        <v>1</v>
      </c>
      <c r="AO6" s="61" t="n">
        <v>2</v>
      </c>
      <c r="AP6" s="61" t="n">
        <v>3</v>
      </c>
      <c r="AQ6" s="61" t="n"/>
      <c r="AR6" s="61" t="n">
        <v>5</v>
      </c>
      <c r="AS6" s="61" t="n">
        <v>6</v>
      </c>
      <c r="AT6" s="61" t="n">
        <v>7</v>
      </c>
      <c r="AU6" s="45" t="n"/>
      <c r="AV6" s="45" t="inlineStr">
        <is>
          <t>Metric</t>
        </is>
      </c>
    </row>
    <row r="7" ht="12.75" customHeight="1">
      <c r="A7" s="36" t="inlineStr">
        <is>
          <t>20-24</t>
        </is>
      </c>
      <c r="B7" s="20" t="n">
        <v>2</v>
      </c>
      <c r="C7" s="20" t="n">
        <v>1.239</v>
      </c>
      <c r="D7" s="20" t="n">
        <v>-0.6865</v>
      </c>
      <c r="E7" s="20" t="n">
        <v>-0.2745</v>
      </c>
      <c r="H7" s="21" t="n">
        <v>1.3207</v>
      </c>
      <c r="I7" s="21" t="n">
        <v>5.3751</v>
      </c>
      <c r="J7" s="37" t="n">
        <v>0.2133</v>
      </c>
      <c r="L7" s="36" t="inlineStr">
        <is>
          <t>5-9</t>
        </is>
      </c>
      <c r="M7" s="20" t="n">
        <v>5</v>
      </c>
      <c r="N7" s="21" t="n">
        <v>1.2248</v>
      </c>
      <c r="O7" s="21" t="n">
        <v>-0.1919</v>
      </c>
      <c r="P7" s="21" t="n">
        <v>-0.08699999999999999</v>
      </c>
      <c r="Q7" s="21" t="n"/>
      <c r="S7" s="21" t="n">
        <v>2.16</v>
      </c>
      <c r="T7" s="21" t="n">
        <v>4.36</v>
      </c>
      <c r="U7" s="37" t="n">
        <v>0.12</v>
      </c>
      <c r="W7" s="36" t="inlineStr">
        <is>
          <t>5-9</t>
        </is>
      </c>
      <c r="X7" s="20" t="n">
        <v>3</v>
      </c>
      <c r="Y7" s="20" t="n">
        <v>1.1957</v>
      </c>
      <c r="Z7" s="20" t="n">
        <v>-0.4103</v>
      </c>
      <c r="AA7" s="20" t="n">
        <v>-0.093</v>
      </c>
      <c r="AD7" s="20" t="n">
        <v>1.6964</v>
      </c>
      <c r="AE7" s="20" t="n">
        <v>4.5147</v>
      </c>
      <c r="AF7" s="42" t="n">
        <v>-0.016</v>
      </c>
      <c r="AH7" s="202" t="n"/>
      <c r="AI7" s="202" t="n"/>
      <c r="AJ7" s="202" t="n"/>
      <c r="AL7" s="20" t="n">
        <v>0</v>
      </c>
      <c r="AM7" s="28">
        <f>OFFSET(INDIRECT($AM$5),$AL7,AM$6)</f>
        <v/>
      </c>
      <c r="AN7" s="28">
        <f>OFFSET(INDIRECT($AM$5),$AL7,AN$6)</f>
        <v/>
      </c>
      <c r="AO7" s="28">
        <f>OFFSET(INDIRECT($AM$5),$AL7,AO$6)</f>
        <v/>
      </c>
      <c r="AP7" s="28">
        <f>OFFSET(INDIRECT($AM$5),$AL7,AP$6)</f>
        <v/>
      </c>
      <c r="AQ7" s="28" t="n"/>
      <c r="AR7" s="28">
        <f>OFFSET(INDIRECT($AM$5),$AL7,AR$6)</f>
        <v/>
      </c>
      <c r="AS7" s="28">
        <f>OFFSET(INDIRECT($AM$5),$AL7,AS$6)</f>
        <v/>
      </c>
      <c r="AT7" s="28">
        <f>OFFSET(INDIRECT($AM$5),$AL7,AT$6)</f>
        <v/>
      </c>
      <c r="AV7" s="29">
        <f>OFFSET(INDIRECT($AM$5),AL7,-1)</f>
        <v/>
      </c>
    </row>
    <row r="8" ht="12.75" customHeight="1">
      <c r="A8" s="36" t="inlineStr">
        <is>
          <t>25-29</t>
        </is>
      </c>
      <c r="B8" s="20" t="n">
        <v>3</v>
      </c>
      <c r="C8" s="20" t="n">
        <v>1.1884</v>
      </c>
      <c r="D8" s="20" t="n">
        <v>0.0421</v>
      </c>
      <c r="E8" s="20" t="n">
        <v>-0.5155999999999999</v>
      </c>
      <c r="H8" s="21" t="n">
        <v>1.5996</v>
      </c>
      <c r="I8" s="21" t="n">
        <v>2.6268</v>
      </c>
      <c r="J8" s="37" t="n">
        <v>4.3701</v>
      </c>
      <c r="L8" s="36" t="inlineStr">
        <is>
          <t>10-14</t>
        </is>
      </c>
      <c r="M8" s="20" t="n">
        <v>5</v>
      </c>
      <c r="N8" s="21" t="n">
        <v>1.2076</v>
      </c>
      <c r="O8" s="21" t="n">
        <v>-0.0105</v>
      </c>
      <c r="P8" s="21" t="n">
        <v>-0.2911</v>
      </c>
      <c r="Q8" s="21" t="n"/>
      <c r="S8" s="21" t="n">
        <v>0.66</v>
      </c>
      <c r="T8" s="21" t="n">
        <v>3.5</v>
      </c>
      <c r="U8" s="37" t="n">
        <v>6.65</v>
      </c>
      <c r="W8" s="36" t="inlineStr">
        <is>
          <t>10-14</t>
        </is>
      </c>
      <c r="X8" s="20" t="n">
        <v>5</v>
      </c>
      <c r="Y8" s="20" t="n">
        <v>1.3067</v>
      </c>
      <c r="Z8" s="20" t="n">
        <v>-0.0103</v>
      </c>
      <c r="AA8" s="20" t="n">
        <v>-0.4618</v>
      </c>
      <c r="AD8" s="20" t="n">
        <v>1.4285</v>
      </c>
      <c r="AE8" s="20" t="n">
        <v>3.2684</v>
      </c>
      <c r="AF8" s="42" t="n">
        <v>4.4073</v>
      </c>
      <c r="AH8" s="202" t="inlineStr">
        <is>
          <t>Model family</t>
        </is>
      </c>
      <c r="AI8" s="202" t="n"/>
      <c r="AJ8" s="202">
        <f>MATCH(Introduction!D17,Family,0)</f>
        <v/>
      </c>
      <c r="AL8" s="20" t="n">
        <v>1</v>
      </c>
      <c r="AM8" s="28">
        <f>OFFSET(INDIRECT($AM$5),$AL8,AM$6)</f>
        <v/>
      </c>
      <c r="AN8" s="28">
        <f>OFFSET(INDIRECT($AM$5),$AL8,AN$6)</f>
        <v/>
      </c>
      <c r="AO8" s="28">
        <f>OFFSET(INDIRECT($AM$5),$AL8,AO$6)</f>
        <v/>
      </c>
      <c r="AP8" s="28">
        <f>OFFSET(INDIRECT($AM$5),$AL8,AP$6)</f>
        <v/>
      </c>
      <c r="AQ8" s="28" t="n"/>
      <c r="AR8" s="28">
        <f>OFFSET(INDIRECT($AM$5),$AL8,AR$6)</f>
        <v/>
      </c>
      <c r="AS8" s="28">
        <f>OFFSET(INDIRECT($AM$5),$AL8,AS$6)</f>
        <v/>
      </c>
      <c r="AT8" s="28">
        <f>OFFSET(INDIRECT($AM$5),$AL8,AT$6)</f>
        <v/>
      </c>
      <c r="AV8" s="29">
        <f>OFFSET(INDIRECT($AM$5),AL8,-1)</f>
        <v/>
      </c>
    </row>
    <row r="9" ht="12.75" customHeight="1">
      <c r="A9" s="36" t="inlineStr">
        <is>
          <t>30-34</t>
        </is>
      </c>
      <c r="B9" s="20" t="n">
        <v>5</v>
      </c>
      <c r="C9" s="20" t="n">
        <v>1.2046</v>
      </c>
      <c r="D9" s="20" t="n">
        <v>0.3037</v>
      </c>
      <c r="E9" s="20" t="n">
        <v>-0.5656</v>
      </c>
      <c r="H9" s="21" t="n">
        <v>2.0779</v>
      </c>
      <c r="I9" s="21" t="n">
        <v>-1.7908</v>
      </c>
      <c r="J9" s="37" t="n">
        <v>9.412599999999999</v>
      </c>
      <c r="L9" s="36" t="inlineStr">
        <is>
          <t>15-19</t>
        </is>
      </c>
      <c r="M9" s="20" t="n">
        <v>5</v>
      </c>
      <c r="N9" s="21" t="n">
        <v>1.203</v>
      </c>
      <c r="O9" s="21" t="n">
        <v>0.0896</v>
      </c>
      <c r="P9" s="21" t="n">
        <v>-0.4265</v>
      </c>
      <c r="Q9" s="21" t="n"/>
      <c r="S9" s="21" t="n">
        <v>-1.96</v>
      </c>
      <c r="T9" s="21" t="n">
        <v>-0.9</v>
      </c>
      <c r="U9" s="37" t="n">
        <v>17.66</v>
      </c>
      <c r="W9" s="36" t="inlineStr">
        <is>
          <t>15-19</t>
        </is>
      </c>
      <c r="X9" s="20" t="n">
        <v>10</v>
      </c>
      <c r="Y9" s="20" t="n">
        <v>1.4701</v>
      </c>
      <c r="Z9" s="20" t="n">
        <v>0.1763</v>
      </c>
      <c r="AA9" s="20" t="n">
        <v>-0.7268</v>
      </c>
      <c r="AD9" s="20" t="n">
        <v>-0.07530000000000001</v>
      </c>
      <c r="AE9" s="20" t="n">
        <v>-1.08</v>
      </c>
      <c r="AF9" s="42" t="n">
        <v>12.9281</v>
      </c>
      <c r="AH9" s="202" t="n"/>
      <c r="AI9" s="204" t="inlineStr">
        <is>
          <t>Princeton</t>
        </is>
      </c>
      <c r="AJ9" s="202" t="n"/>
      <c r="AL9" s="20" t="n">
        <v>2</v>
      </c>
      <c r="AM9" s="28">
        <f>OFFSET(INDIRECT($AM$5),$AL9,AM$6)</f>
        <v/>
      </c>
      <c r="AN9" s="28">
        <f>OFFSET(INDIRECT($AM$5),$AL9,AN$6)</f>
        <v/>
      </c>
      <c r="AO9" s="28">
        <f>OFFSET(INDIRECT($AM$5),$AL9,AO$6)</f>
        <v/>
      </c>
      <c r="AP9" s="28">
        <f>OFFSET(INDIRECT($AM$5),$AL9,AP$6)</f>
        <v/>
      </c>
      <c r="AQ9" s="28" t="n"/>
      <c r="AR9" s="28">
        <f>OFFSET(INDIRECT($AM$5),$AL9,AR$6)</f>
        <v/>
      </c>
      <c r="AS9" s="28">
        <f>OFFSET(INDIRECT($AM$5),$AL9,AS$6)</f>
        <v/>
      </c>
      <c r="AT9" s="28">
        <f>OFFSET(INDIRECT($AM$5),$AL9,AT$6)</f>
        <v/>
      </c>
      <c r="AV9" s="29">
        <f>OFFSET(INDIRECT($AM$5),AL9,-1)</f>
        <v/>
      </c>
    </row>
    <row r="10" ht="12.75" customHeight="1">
      <c r="A10" s="36" t="inlineStr">
        <is>
          <t>35-39</t>
        </is>
      </c>
      <c r="B10" s="20" t="n">
        <v>10</v>
      </c>
      <c r="C10" s="20" t="n">
        <v>1.2586</v>
      </c>
      <c r="D10" s="20" t="n">
        <v>0.4236</v>
      </c>
      <c r="E10" s="20" t="n">
        <v>-0.5898</v>
      </c>
      <c r="H10" s="21" t="n">
        <v>2.7705</v>
      </c>
      <c r="I10" s="21" t="n">
        <v>-7.3403</v>
      </c>
      <c r="J10" s="37" t="n">
        <v>14.9352</v>
      </c>
      <c r="L10" s="36" t="inlineStr">
        <is>
          <t>20-24</t>
        </is>
      </c>
      <c r="M10" s="20" t="n">
        <v>10</v>
      </c>
      <c r="N10" s="21" t="n">
        <v>1.3292</v>
      </c>
      <c r="O10" s="21" t="n">
        <v>0.1598</v>
      </c>
      <c r="P10" s="21" t="n">
        <v>-0.5778</v>
      </c>
      <c r="Q10" s="21" t="n"/>
      <c r="S10" s="21" t="n">
        <v>-3.85</v>
      </c>
      <c r="T10" s="21" t="n">
        <v>-6.42</v>
      </c>
      <c r="U10" s="37" t="n">
        <v>28.94</v>
      </c>
      <c r="W10" s="36" t="inlineStr">
        <is>
          <t>20-24</t>
        </is>
      </c>
      <c r="X10" s="20" t="n">
        <v>15</v>
      </c>
      <c r="Y10" s="20" t="n">
        <v>1.5039</v>
      </c>
      <c r="Z10" s="20" t="n">
        <v>0.0039</v>
      </c>
      <c r="AA10" s="20" t="n">
        <v>-0.7071</v>
      </c>
      <c r="AD10" s="20" t="n">
        <v>-1.9749</v>
      </c>
      <c r="AE10" s="20" t="n">
        <v>-3.4773</v>
      </c>
      <c r="AF10" s="42" t="n">
        <v>21.3318</v>
      </c>
      <c r="AH10" s="202" t="n"/>
      <c r="AI10" s="205" t="inlineStr">
        <is>
          <t>UN</t>
        </is>
      </c>
      <c r="AJ10" s="202" t="n"/>
      <c r="AL10" s="20" t="n">
        <v>3</v>
      </c>
      <c r="AM10" s="28">
        <f>OFFSET(INDIRECT($AM$5),$AL10,AM$6)</f>
        <v/>
      </c>
      <c r="AN10" s="28">
        <f>OFFSET(INDIRECT($AM$5),$AL10,AN$6)</f>
        <v/>
      </c>
      <c r="AO10" s="28">
        <f>OFFSET(INDIRECT($AM$5),$AL10,AO$6)</f>
        <v/>
      </c>
      <c r="AP10" s="28">
        <f>OFFSET(INDIRECT($AM$5),$AL10,AP$6)</f>
        <v/>
      </c>
      <c r="AQ10" s="28" t="n"/>
      <c r="AR10" s="28">
        <f>OFFSET(INDIRECT($AM$5),$AL10,AR$6)</f>
        <v/>
      </c>
      <c r="AS10" s="28">
        <f>OFFSET(INDIRECT($AM$5),$AL10,AS$6)</f>
        <v/>
      </c>
      <c r="AT10" s="28">
        <f>OFFSET(INDIRECT($AM$5),$AL10,AT$6)</f>
        <v/>
      </c>
      <c r="AV10" s="29">
        <f>OFFSET(INDIRECT($AM$5),AL10,-1)</f>
        <v/>
      </c>
    </row>
    <row r="11" ht="12.75" customHeight="1">
      <c r="A11" s="36" t="inlineStr">
        <is>
          <t>40-44</t>
        </is>
      </c>
      <c r="B11" s="20" t="n">
        <v>15</v>
      </c>
      <c r="C11" s="20" t="n">
        <v>1.224</v>
      </c>
      <c r="D11" s="20" t="n">
        <v>0.4222</v>
      </c>
      <c r="E11" s="20" t="n">
        <v>-0.5456</v>
      </c>
      <c r="H11" s="21" t="n">
        <v>4.152</v>
      </c>
      <c r="I11" s="21" t="n">
        <v>-12.2448</v>
      </c>
      <c r="J11" s="37" t="n">
        <v>19.2349</v>
      </c>
      <c r="L11" s="36" t="n"/>
      <c r="U11" s="42" t="n"/>
      <c r="W11" s="36" t="inlineStr">
        <is>
          <t>25-29</t>
        </is>
      </c>
      <c r="X11" s="20" t="n">
        <v>20</v>
      </c>
      <c r="Y11" s="20" t="n">
        <v>1.4798</v>
      </c>
      <c r="Z11" s="20" t="n">
        <v>-0.2487</v>
      </c>
      <c r="AA11" s="20" t="n">
        <v>-0.5582</v>
      </c>
      <c r="AD11" s="20" t="n">
        <v>-2.1888</v>
      </c>
      <c r="AE11" s="20" t="n">
        <v>0.6124000000000001</v>
      </c>
      <c r="AF11" s="42" t="n">
        <v>23.9376</v>
      </c>
      <c r="AH11" s="202" t="n"/>
      <c r="AI11" s="202" t="n"/>
      <c r="AJ11" s="202" t="n"/>
      <c r="AL11" s="20" t="n">
        <v>4</v>
      </c>
      <c r="AM11" s="28">
        <f>OFFSET(INDIRECT($AM$5),$AL11,AM$6)</f>
        <v/>
      </c>
      <c r="AN11" s="28">
        <f>OFFSET(INDIRECT($AM$5),$AL11,AN$6)</f>
        <v/>
      </c>
      <c r="AO11" s="28">
        <f>OFFSET(INDIRECT($AM$5),$AL11,AO$6)</f>
        <v/>
      </c>
      <c r="AP11" s="28">
        <f>OFFSET(INDIRECT($AM$5),$AL11,AP$6)</f>
        <v/>
      </c>
      <c r="AQ11" s="28" t="n"/>
      <c r="AR11" s="28">
        <f>OFFSET(INDIRECT($AM$5),$AL11,AR$6)</f>
        <v/>
      </c>
      <c r="AS11" s="28">
        <f>OFFSET(INDIRECT($AM$5),$AL11,AS$6)</f>
        <v/>
      </c>
      <c r="AT11" s="28">
        <f>OFFSET(INDIRECT($AM$5),$AL11,AT$6)</f>
        <v/>
      </c>
      <c r="AV11" s="29">
        <f>OFFSET(INDIRECT($AM$5),AL11,-1)</f>
        <v/>
      </c>
    </row>
    <row r="12" ht="12.75" customHeight="1">
      <c r="A12" s="36" t="inlineStr">
        <is>
          <t>45-49</t>
        </is>
      </c>
      <c r="B12" s="20" t="n">
        <v>20</v>
      </c>
      <c r="C12" s="20" t="n">
        <v>1.1772</v>
      </c>
      <c r="D12" s="20" t="n">
        <v>0.3486</v>
      </c>
      <c r="E12" s="20" t="n">
        <v>-0.4624</v>
      </c>
      <c r="H12" s="21" t="n">
        <v>6.965</v>
      </c>
      <c r="I12" s="21" t="n">
        <v>-13.916</v>
      </c>
      <c r="J12" s="37" t="n">
        <v>19.9542</v>
      </c>
      <c r="L12" s="36" t="n"/>
      <c r="U12" s="42" t="n"/>
      <c r="W12" s="36" t="n"/>
      <c r="AE12" s="49" t="n"/>
      <c r="AF12" s="50" t="n"/>
      <c r="AG12" s="23" t="n"/>
      <c r="AH12" s="202" t="inlineStr">
        <is>
          <t>Model pattern</t>
        </is>
      </c>
      <c r="AI12" s="202" t="n"/>
      <c r="AJ12" s="202">
        <f>MATCH(Introduction!D18,IF(AJ8=1,Princeton,UN),0)</f>
        <v/>
      </c>
      <c r="AL12" s="20" t="n">
        <v>5</v>
      </c>
      <c r="AM12" s="28">
        <f>OFFSET(INDIRECT($AM$5),$AL12,AM$6)</f>
        <v/>
      </c>
      <c r="AN12" s="28">
        <f>OFFSET(INDIRECT($AM$5),$AL12,AN$6)</f>
        <v/>
      </c>
      <c r="AO12" s="28">
        <f>OFFSET(INDIRECT($AM$5),$AL12,AO$6)</f>
        <v/>
      </c>
      <c r="AP12" s="28">
        <f>OFFSET(INDIRECT($AM$5),$AL12,AP$6)</f>
        <v/>
      </c>
      <c r="AQ12" s="28" t="n"/>
      <c r="AR12" s="28">
        <f>OFFSET(INDIRECT($AM$5),$AL12,AR$6)</f>
        <v/>
      </c>
      <c r="AS12" s="28">
        <f>OFFSET(INDIRECT($AM$5),$AL12,AS$6)</f>
        <v/>
      </c>
      <c r="AT12" s="28">
        <f>OFFSET(INDIRECT($AM$5),$AL12,AT$6)</f>
        <v/>
      </c>
      <c r="AV12" s="29">
        <f>OFFSET(INDIRECT($AM$5),AL12,-1)</f>
        <v/>
      </c>
    </row>
    <row r="13" ht="12.75" customHeight="1">
      <c r="A13" s="38" t="n"/>
      <c r="B13" s="39" t="n"/>
      <c r="C13" s="27" t="n"/>
      <c r="D13" s="27" t="n"/>
      <c r="E13" s="27" t="n"/>
      <c r="F13" s="27" t="n"/>
      <c r="G13" s="27" t="n"/>
      <c r="H13" s="27" t="n"/>
      <c r="I13" s="27" t="n"/>
      <c r="J13" s="40" t="n"/>
      <c r="L13" s="36" t="n"/>
      <c r="U13" s="42" t="n"/>
      <c r="W13" s="36" t="n"/>
      <c r="AE13" s="48" t="n"/>
      <c r="AF13" s="50" t="n"/>
      <c r="AG13" s="23" t="n"/>
      <c r="AH13" s="202" t="n"/>
      <c r="AI13" s="204" t="inlineStr">
        <is>
          <t>North</t>
        </is>
      </c>
      <c r="AJ13" s="202" t="n"/>
      <c r="AL13" s="20" t="n">
        <v>6</v>
      </c>
      <c r="AM13" s="28">
        <f>OFFSET(INDIRECT($AM$5),$AL13,AM$6)</f>
        <v/>
      </c>
      <c r="AN13" s="28">
        <f>OFFSET(INDIRECT($AM$5),$AL13,AN$6)</f>
        <v/>
      </c>
      <c r="AO13" s="28">
        <f>OFFSET(INDIRECT($AM$5),$AL13,AO$6)</f>
        <v/>
      </c>
      <c r="AP13" s="28">
        <f>OFFSET(INDIRECT($AM$5),$AL13,AP$6)</f>
        <v/>
      </c>
      <c r="AQ13" s="28" t="n"/>
      <c r="AR13" s="28">
        <f>OFFSET(INDIRECT($AM$5),$AL13,AR$6)</f>
        <v/>
      </c>
      <c r="AS13" s="28">
        <f>OFFSET(INDIRECT($AM$5),$AL13,AS$6)</f>
        <v/>
      </c>
      <c r="AT13" s="28">
        <f>OFFSET(INDIRECT($AM$5),$AL13,AT$6)</f>
        <v/>
      </c>
      <c r="AV13" s="29">
        <f>OFFSET(INDIRECT($AM$5),AL13,-1)</f>
        <v/>
      </c>
    </row>
    <row r="14" ht="12.75" customHeight="1">
      <c r="A14" s="41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40" t="n"/>
      <c r="L14" s="36" t="n"/>
      <c r="U14" s="42" t="n"/>
      <c r="W14" s="36" t="n"/>
      <c r="AE14" s="48" t="n"/>
      <c r="AF14" s="50" t="n"/>
      <c r="AG14" s="23" t="n"/>
      <c r="AH14" s="202" t="n"/>
      <c r="AI14" s="206" t="inlineStr">
        <is>
          <t>South</t>
        </is>
      </c>
      <c r="AJ14" s="202" t="n"/>
    </row>
    <row r="15" ht="15" customHeight="1">
      <c r="A15" s="168" t="inlineStr">
        <is>
          <t>Princeton - South</t>
        </is>
      </c>
      <c r="J15" s="198" t="n"/>
      <c r="K15" s="24" t="n"/>
      <c r="L15" s="35" t="n"/>
      <c r="M15" s="24" t="n"/>
      <c r="N15" s="168" t="inlineStr">
        <is>
          <t>Princeton - South</t>
        </is>
      </c>
      <c r="U15" s="198" t="n"/>
      <c r="V15" s="24" t="n"/>
      <c r="W15" s="35" t="n"/>
      <c r="X15" s="24" t="n"/>
      <c r="Y15" s="168" t="inlineStr">
        <is>
          <t>Princeton - South</t>
        </is>
      </c>
      <c r="AF15" s="198" t="n"/>
      <c r="AG15" s="23" t="n"/>
      <c r="AH15" s="202" t="n"/>
      <c r="AI15" s="206" t="inlineStr">
        <is>
          <t>East</t>
        </is>
      </c>
      <c r="AJ15" s="202" t="n"/>
      <c r="AM15" s="167" t="inlineStr">
        <is>
          <t>Selected LT</t>
        </is>
      </c>
      <c r="AO15" s="24" t="n"/>
      <c r="AP15" s="28" t="n"/>
      <c r="AQ15" s="28" t="n"/>
      <c r="AR15" s="28" t="n"/>
      <c r="AS15" s="28" t="n"/>
      <c r="AT15" s="28" t="n"/>
    </row>
    <row r="16" ht="12.75" customHeight="1">
      <c r="A16" s="51" t="inlineStr">
        <is>
          <t>Age</t>
        </is>
      </c>
      <c r="B16" s="52" t="inlineStr">
        <is>
          <t>x</t>
        </is>
      </c>
      <c r="C16" s="26" t="inlineStr">
        <is>
          <t>a(x,j)</t>
        </is>
      </c>
      <c r="D16" s="26" t="inlineStr">
        <is>
          <t>b(x,j)</t>
        </is>
      </c>
      <c r="E16" s="26" t="inlineStr">
        <is>
          <t>c(x,j)</t>
        </is>
      </c>
      <c r="F16" s="26" t="inlineStr">
        <is>
          <t>d(x,j)</t>
        </is>
      </c>
      <c r="G16" s="26" t="n"/>
      <c r="H16" s="26" t="inlineStr">
        <is>
          <t>e(x,j)</t>
        </is>
      </c>
      <c r="I16" s="26" t="inlineStr">
        <is>
          <t>f(x,j)</t>
        </is>
      </c>
      <c r="J16" s="53" t="inlineStr">
        <is>
          <t>g(x,j)</t>
        </is>
      </c>
      <c r="L16" s="51" t="inlineStr">
        <is>
          <t>Duration</t>
        </is>
      </c>
      <c r="M16" s="52" t="inlineStr">
        <is>
          <t>x</t>
        </is>
      </c>
      <c r="N16" s="26" t="inlineStr">
        <is>
          <t>a(x,j)</t>
        </is>
      </c>
      <c r="O16" s="26" t="inlineStr">
        <is>
          <t>b(x,j)</t>
        </is>
      </c>
      <c r="P16" s="26" t="inlineStr">
        <is>
          <t>c(x,j)</t>
        </is>
      </c>
      <c r="Q16" s="26" t="n"/>
      <c r="R16" s="26" t="n"/>
      <c r="S16" s="26" t="inlineStr">
        <is>
          <t>e(x,j)</t>
        </is>
      </c>
      <c r="T16" s="26" t="inlineStr">
        <is>
          <t>f(x,j)</t>
        </is>
      </c>
      <c r="U16" s="53" t="inlineStr">
        <is>
          <t>g(x,j)</t>
        </is>
      </c>
      <c r="W16" s="51" t="inlineStr">
        <is>
          <t>Duration</t>
        </is>
      </c>
      <c r="X16" s="52" t="inlineStr">
        <is>
          <t>x</t>
        </is>
      </c>
      <c r="Y16" s="26" t="inlineStr">
        <is>
          <t>a(x,j)</t>
        </is>
      </c>
      <c r="Z16" s="26" t="inlineStr">
        <is>
          <t>b(x,j)</t>
        </is>
      </c>
      <c r="AA16" s="26" t="inlineStr">
        <is>
          <t>c(x,j)</t>
        </is>
      </c>
      <c r="AB16" s="26" t="n"/>
      <c r="AC16" s="26" t="n"/>
      <c r="AD16" s="26" t="inlineStr">
        <is>
          <t>e(x,j)</t>
        </is>
      </c>
      <c r="AE16" s="26" t="inlineStr">
        <is>
          <t>f(x,j)</t>
        </is>
      </c>
      <c r="AF16" s="53" t="inlineStr">
        <is>
          <t>g(x,j)</t>
        </is>
      </c>
      <c r="AG16" s="23" t="n"/>
      <c r="AH16" s="202" t="n"/>
      <c r="AI16" s="205" t="inlineStr">
        <is>
          <t>West</t>
        </is>
      </c>
      <c r="AJ16" s="202" t="n"/>
      <c r="AM16" s="77" t="inlineStr">
        <is>
          <t>x</t>
        </is>
      </c>
      <c r="AN16" s="79" t="inlineStr">
        <is>
          <t>logit l(x)</t>
        </is>
      </c>
      <c r="AO16" s="24" t="n"/>
      <c r="AP16" s="28" t="n"/>
      <c r="AQ16" s="28" t="n"/>
      <c r="AR16" s="28" t="n"/>
      <c r="AS16" s="28" t="n"/>
      <c r="AT16" s="28" t="n"/>
    </row>
    <row r="17" ht="12.75" customHeight="1">
      <c r="A17" s="36" t="inlineStr">
        <is>
          <t>15-19</t>
        </is>
      </c>
      <c r="B17" s="20" t="n">
        <v>1</v>
      </c>
      <c r="C17" s="20" t="n">
        <v>1.0819</v>
      </c>
      <c r="D17" s="20" t="n">
        <v>-3.0005</v>
      </c>
      <c r="E17" s="20" t="n">
        <v>0.8689</v>
      </c>
      <c r="F17" s="27" t="n"/>
      <c r="G17" s="27" t="n"/>
      <c r="H17" s="21" t="n">
        <v>1.09</v>
      </c>
      <c r="I17" s="21" t="n">
        <v>5.4443</v>
      </c>
      <c r="J17" s="37" t="n">
        <v>-1.9721</v>
      </c>
      <c r="L17" s="36" t="inlineStr">
        <is>
          <t>0-4</t>
        </is>
      </c>
      <c r="M17" s="20" t="n">
        <v>2</v>
      </c>
      <c r="N17" s="20" t="n">
        <v>1.1705</v>
      </c>
      <c r="O17" s="20" t="n">
        <v>-0.1461</v>
      </c>
      <c r="P17" s="20" t="n">
        <v>0.0051</v>
      </c>
      <c r="S17" s="21" t="n">
        <v>1.68</v>
      </c>
      <c r="T17" s="21" t="n">
        <v>0.96</v>
      </c>
      <c r="U17" s="37" t="n">
        <v>-0.32</v>
      </c>
      <c r="W17" s="36" t="inlineStr">
        <is>
          <t>0-4</t>
        </is>
      </c>
      <c r="X17" s="20" t="n">
        <v>2</v>
      </c>
      <c r="Y17" s="20" t="n">
        <v>1.3103</v>
      </c>
      <c r="Z17" s="20" t="n">
        <v>-0.5856</v>
      </c>
      <c r="AA17" s="20" t="n">
        <v>0.1367</v>
      </c>
      <c r="AD17" s="20" t="n">
        <v>1.0202</v>
      </c>
      <c r="AE17" s="48" t="n">
        <v>1.3064</v>
      </c>
      <c r="AF17" s="50" t="n">
        <v>-0.3297</v>
      </c>
      <c r="AG17" s="23" t="n"/>
      <c r="AH17" s="202" t="n"/>
      <c r="AI17" s="204" t="inlineStr">
        <is>
          <t>Latin America</t>
        </is>
      </c>
      <c r="AJ17" s="202" t="n"/>
      <c r="AM17" s="207" t="n">
        <v>0</v>
      </c>
      <c r="AN17" s="80" t="n"/>
      <c r="AO17" s="208" t="n"/>
      <c r="AP17" s="27" t="n"/>
      <c r="AQ17" s="27" t="n"/>
      <c r="AR17" s="27" t="n"/>
      <c r="AS17" s="27" t="n"/>
      <c r="AT17" s="27" t="n"/>
    </row>
    <row r="18" ht="12.75" customHeight="1">
      <c r="A18" s="36" t="inlineStr">
        <is>
          <t>20-24</t>
        </is>
      </c>
      <c r="B18" s="20" t="n">
        <v>2</v>
      </c>
      <c r="C18" s="20" t="n">
        <v>1.2846</v>
      </c>
      <c r="D18" s="20" t="n">
        <v>-0.6181</v>
      </c>
      <c r="E18" s="20" t="n">
        <v>-0.3024</v>
      </c>
      <c r="F18" s="27" t="n"/>
      <c r="G18" s="27" t="n"/>
      <c r="H18" s="21" t="n">
        <v>1.3079</v>
      </c>
      <c r="I18" s="21" t="n">
        <v>5.5568</v>
      </c>
      <c r="J18" s="37" t="n">
        <v>0.2021</v>
      </c>
      <c r="L18" s="36" t="inlineStr">
        <is>
          <t>5-9</t>
        </is>
      </c>
      <c r="M18" s="20" t="n">
        <v>5</v>
      </c>
      <c r="N18" s="20" t="n">
        <v>1.3166</v>
      </c>
      <c r="O18" s="20" t="n">
        <v>-0.3157</v>
      </c>
      <c r="P18" s="20" t="n">
        <v>-0.09710000000000001</v>
      </c>
      <c r="S18" s="21" t="n">
        <v>2.29</v>
      </c>
      <c r="T18" s="21" t="n">
        <v>3.84</v>
      </c>
      <c r="U18" s="37" t="n">
        <v>-0.01</v>
      </c>
      <c r="W18" s="36" t="inlineStr">
        <is>
          <t>5-9</t>
        </is>
      </c>
      <c r="X18" s="20" t="n">
        <v>3</v>
      </c>
      <c r="Y18" s="20" t="n">
        <v>1.2309</v>
      </c>
      <c r="Z18" s="20" t="n">
        <v>-0.3463</v>
      </c>
      <c r="AA18" s="20" t="n">
        <v>-0.1073</v>
      </c>
      <c r="AD18" s="20" t="n">
        <v>1.6601</v>
      </c>
      <c r="AE18" s="49" t="n">
        <v>4.5105</v>
      </c>
      <c r="AF18" s="50" t="n">
        <v>-0.0335</v>
      </c>
      <c r="AG18" s="23" t="n"/>
      <c r="AH18" s="202" t="n"/>
      <c r="AI18" s="206" t="inlineStr">
        <is>
          <t>Chile</t>
        </is>
      </c>
      <c r="AJ18" s="202" t="n"/>
      <c r="AM18" s="209" t="n">
        <v>1</v>
      </c>
      <c r="AN18" s="210">
        <f>HLOOKUP(Coefficients!$AJ$8*100+Coefficients!$AJ$12*10+Coefficients!$AJ$28,'Model LTs'!$A$2:$AB$13,5,FALSE)</f>
        <v/>
      </c>
      <c r="AO18" s="211" t="n"/>
    </row>
    <row r="19" ht="12.75" customHeight="1">
      <c r="A19" s="36" t="inlineStr">
        <is>
          <t>25-29</t>
        </is>
      </c>
      <c r="B19" s="20" t="n">
        <v>3</v>
      </c>
      <c r="C19" s="20" t="n">
        <v>1.2223</v>
      </c>
      <c r="D19" s="20" t="n">
        <v>0.0851</v>
      </c>
      <c r="E19" s="20" t="n">
        <v>-0.4704</v>
      </c>
      <c r="F19" s="27" t="n"/>
      <c r="G19" s="27" t="n"/>
      <c r="H19" s="21" t="n">
        <v>1.5173</v>
      </c>
      <c r="I19" s="21" t="n">
        <v>2.6755</v>
      </c>
      <c r="J19" s="37" t="n">
        <v>4.7471</v>
      </c>
      <c r="L19" s="36" t="inlineStr">
        <is>
          <t>10-14</t>
        </is>
      </c>
      <c r="M19" s="20" t="n">
        <v>5</v>
      </c>
      <c r="N19" s="20" t="n">
        <v>1.2952</v>
      </c>
      <c r="O19" s="20" t="n">
        <v>-0.0423</v>
      </c>
      <c r="P19" s="20" t="n">
        <v>-0.4295</v>
      </c>
      <c r="S19" s="21" t="n">
        <v>1.19</v>
      </c>
      <c r="T19" s="21" t="n">
        <v>3.45</v>
      </c>
      <c r="U19" s="37" t="n">
        <v>5.41</v>
      </c>
      <c r="W19" s="36" t="inlineStr">
        <is>
          <t>10-14</t>
        </is>
      </c>
      <c r="X19" s="20" t="n">
        <v>5</v>
      </c>
      <c r="Y19" s="20" t="n">
        <v>1.2774</v>
      </c>
      <c r="Z19" s="20" t="n">
        <v>0.0336</v>
      </c>
      <c r="AA19" s="20" t="n">
        <v>-0.3987</v>
      </c>
      <c r="AD19" s="20" t="n">
        <v>1.2146</v>
      </c>
      <c r="AE19" s="20" t="n">
        <v>3.4684</v>
      </c>
      <c r="AF19" s="42" t="n">
        <v>4.9524</v>
      </c>
      <c r="AH19" s="202" t="n"/>
      <c r="AI19" s="206" t="inlineStr">
        <is>
          <t>South Asian</t>
        </is>
      </c>
      <c r="AJ19" s="202" t="n"/>
      <c r="AM19" s="209" t="n">
        <v>2</v>
      </c>
      <c r="AN19" s="210">
        <f>HLOOKUP(Coefficients!$AJ$8*100+Coefficients!$AJ$12*10+Coefficients!$AJ$28,'Model LTs'!$A$2:$AB$13,6,FALSE)</f>
        <v/>
      </c>
      <c r="AO19" s="211" t="n"/>
    </row>
    <row r="20" ht="12.75" customHeight="1">
      <c r="A20" s="36" t="inlineStr">
        <is>
          <t>30-34</t>
        </is>
      </c>
      <c r="B20" s="20" t="n">
        <v>5</v>
      </c>
      <c r="C20" s="20" t="n">
        <v>1.1905</v>
      </c>
      <c r="D20" s="20" t="n">
        <v>0.2631</v>
      </c>
      <c r="E20" s="20" t="n">
        <v>-0.4487</v>
      </c>
      <c r="F20" s="27" t="n"/>
      <c r="G20" s="27" t="n"/>
      <c r="H20" s="21" t="n">
        <v>1.9399</v>
      </c>
      <c r="I20" s="21" t="n">
        <v>-2.2739</v>
      </c>
      <c r="J20" s="37" t="n">
        <v>10.3876</v>
      </c>
      <c r="L20" s="36" t="inlineStr">
        <is>
          <t>15-19</t>
        </is>
      </c>
      <c r="M20" s="20" t="n">
        <v>5</v>
      </c>
      <c r="N20" s="21" t="n">
        <v>1.2836</v>
      </c>
      <c r="O20" s="20" t="n">
        <v>0.1308</v>
      </c>
      <c r="P20" s="20" t="n">
        <v>-0.6496</v>
      </c>
      <c r="S20" s="21" t="n">
        <v>-1.01</v>
      </c>
      <c r="T20" s="21" t="n">
        <v>-0.18</v>
      </c>
      <c r="U20" s="37" t="n">
        <v>15.03</v>
      </c>
      <c r="W20" s="36" t="inlineStr">
        <is>
          <t>15-19</t>
        </is>
      </c>
      <c r="X20" s="20" t="n">
        <v>10</v>
      </c>
      <c r="Y20" s="20" t="n">
        <v>1.3493</v>
      </c>
      <c r="Z20" s="20" t="n">
        <v>0.1366</v>
      </c>
      <c r="AA20" s="20" t="n">
        <v>-0.5403</v>
      </c>
      <c r="AD20" s="20" t="n">
        <v>-0.6454</v>
      </c>
      <c r="AE20" s="20" t="n">
        <v>-1.6045</v>
      </c>
      <c r="AF20" s="50" t="n">
        <v>14.6773</v>
      </c>
      <c r="AH20" s="202" t="n"/>
      <c r="AI20" s="206" t="inlineStr">
        <is>
          <t>Far East</t>
        </is>
      </c>
      <c r="AJ20" s="202" t="n"/>
      <c r="AM20" s="209" t="n">
        <v>3</v>
      </c>
      <c r="AN20" s="210">
        <f>HLOOKUP(Coefficients!$AJ$8*100+Coefficients!$AJ$12*10+Coefficients!$AJ$28,'Model LTs'!$A$2:$AB$13,7,FALSE)</f>
        <v/>
      </c>
      <c r="AO20" s="211" t="n"/>
    </row>
    <row r="21" ht="12.75" customHeight="1">
      <c r="A21" s="36" t="inlineStr">
        <is>
          <t>35-39</t>
        </is>
      </c>
      <c r="B21" s="20" t="n">
        <v>10</v>
      </c>
      <c r="C21" s="20" t="n">
        <v>1.1911</v>
      </c>
      <c r="D21" s="20" t="n">
        <v>0.3152</v>
      </c>
      <c r="E21" s="20" t="n">
        <v>-0.4291</v>
      </c>
      <c r="F21" s="27" t="n"/>
      <c r="G21" s="27" t="n"/>
      <c r="H21" s="21" t="n">
        <v>2.6157</v>
      </c>
      <c r="I21" s="21" t="n">
        <v>-8.4819</v>
      </c>
      <c r="J21" s="37" t="n">
        <v>16.5153</v>
      </c>
      <c r="L21" s="36" t="inlineStr">
        <is>
          <t>20-24</t>
        </is>
      </c>
      <c r="M21" s="20" t="n">
        <v>10</v>
      </c>
      <c r="N21" s="20" t="n">
        <v>1.5269</v>
      </c>
      <c r="O21" s="20" t="n">
        <v>0.2659</v>
      </c>
      <c r="P21" s="20" t="n">
        <v>-0.9174</v>
      </c>
      <c r="S21" s="21" t="n">
        <v>-2.68</v>
      </c>
      <c r="T21" s="21" t="n">
        <v>-5.06</v>
      </c>
      <c r="U21" s="37" t="n">
        <v>25.21</v>
      </c>
      <c r="W21" s="36" t="inlineStr">
        <is>
          <t>20-24</t>
        </is>
      </c>
      <c r="X21" s="20" t="n">
        <v>15</v>
      </c>
      <c r="Y21" s="20" t="n">
        <v>1.3592</v>
      </c>
      <c r="Z21" s="20" t="n">
        <v>-0.0315</v>
      </c>
      <c r="AA21" s="20" t="n">
        <v>-0.4944</v>
      </c>
      <c r="AD21" s="20" t="n">
        <v>-2.9104</v>
      </c>
      <c r="AE21" s="20" t="n">
        <v>-4.1352</v>
      </c>
      <c r="AF21" s="50" t="n">
        <v>24.0072</v>
      </c>
      <c r="AH21" s="202" t="n"/>
      <c r="AI21" s="205" t="inlineStr">
        <is>
          <t>General</t>
        </is>
      </c>
      <c r="AJ21" s="202" t="n"/>
      <c r="AM21" s="209" t="n">
        <v>4</v>
      </c>
      <c r="AN21" s="210">
        <f>HLOOKUP(Coefficients!$AJ$8*100+Coefficients!$AJ$12*10+Coefficients!$AJ$28,'Model LTs'!$A$2:$AB$13,8,FALSE)</f>
        <v/>
      </c>
      <c r="AO21" s="211" t="n"/>
    </row>
    <row r="22" ht="12.75" customHeight="1">
      <c r="A22" s="36" t="inlineStr">
        <is>
          <t>40-44</t>
        </is>
      </c>
      <c r="B22" s="20" t="n">
        <v>15</v>
      </c>
      <c r="C22" s="20" t="n">
        <v>1.1564</v>
      </c>
      <c r="D22" s="20" t="n">
        <v>0.3017</v>
      </c>
      <c r="E22" s="20" t="n">
        <v>-0.3958</v>
      </c>
      <c r="F22" s="27" t="n"/>
      <c r="G22" s="27" t="n"/>
      <c r="H22" s="21" t="n">
        <v>4.0794</v>
      </c>
      <c r="I22" s="21" t="n">
        <v>-13.8308</v>
      </c>
      <c r="J22" s="37" t="n">
        <v>21.1866</v>
      </c>
      <c r="L22" s="36" t="n"/>
      <c r="U22" s="42" t="n"/>
      <c r="W22" s="36" t="inlineStr">
        <is>
          <t>25-29</t>
        </is>
      </c>
      <c r="X22" s="20" t="n">
        <v>20</v>
      </c>
      <c r="Y22" s="20" t="n">
        <v>1.3532</v>
      </c>
      <c r="Z22" s="20" t="n">
        <v>-0.1978</v>
      </c>
      <c r="AA22" s="48" t="n">
        <v>-0.4099</v>
      </c>
      <c r="AB22" s="48" t="n"/>
      <c r="AD22" s="20" t="n">
        <v>-3.1641</v>
      </c>
      <c r="AE22" s="20" t="n">
        <v>1.2106</v>
      </c>
      <c r="AF22" s="50" t="n">
        <v>26.3515</v>
      </c>
      <c r="AH22" s="202" t="n"/>
      <c r="AI22" s="202" t="n"/>
      <c r="AJ22" s="202" t="n"/>
      <c r="AM22" s="209" t="n">
        <v>5</v>
      </c>
      <c r="AN22" s="210">
        <f>HLOOKUP(Coefficients!$AJ$8*100+Coefficients!$AJ$12*10+Coefficients!$AJ$28,'Model LTs'!$A$2:$AB$13,9,FALSE)</f>
        <v/>
      </c>
      <c r="AO22" s="211" t="n"/>
    </row>
    <row r="23" ht="12.75" customHeight="1">
      <c r="A23" s="36" t="inlineStr">
        <is>
          <t>45-49</t>
        </is>
      </c>
      <c r="B23" s="20" t="n">
        <v>20</v>
      </c>
      <c r="C23" s="20" t="n">
        <v>1.1307</v>
      </c>
      <c r="D23" s="20" t="n">
        <v>0.2596</v>
      </c>
      <c r="E23" s="20" t="n">
        <v>-0.3538</v>
      </c>
      <c r="F23" s="27" t="n"/>
      <c r="G23" s="27" t="n"/>
      <c r="H23" s="21" t="n">
        <v>7.1796</v>
      </c>
      <c r="I23" s="21" t="n">
        <v>-15.388</v>
      </c>
      <c r="J23" s="37" t="n">
        <v>21.7892</v>
      </c>
      <c r="L23" s="36" t="n"/>
      <c r="U23" s="42" t="n"/>
      <c r="W23" s="36" t="n"/>
      <c r="AF23" s="42" t="n"/>
      <c r="AH23" s="202" t="inlineStr">
        <is>
          <t>Model variant</t>
        </is>
      </c>
      <c r="AI23" s="202" t="n"/>
      <c r="AJ23" s="202">
        <f>MATCH(Introduction!D14,Variant,0)</f>
        <v/>
      </c>
      <c r="AM23" s="209" t="n">
        <v>10</v>
      </c>
      <c r="AN23" s="210">
        <f>HLOOKUP(Coefficients!$AJ$8*100+Coefficients!$AJ$12*10+Coefficients!$AJ$28,'Model LTs'!$A$2:$AB$13,10,FALSE)</f>
        <v/>
      </c>
      <c r="AO23" s="211" t="n"/>
    </row>
    <row r="24" ht="12.75" customHeight="1">
      <c r="A24" s="41" t="n"/>
      <c r="C24" s="27" t="n"/>
      <c r="D24" s="27" t="n"/>
      <c r="E24" s="27" t="n"/>
      <c r="F24" s="27" t="n"/>
      <c r="G24" s="27" t="n"/>
      <c r="H24" s="27" t="n"/>
      <c r="I24" s="27" t="n"/>
      <c r="J24" s="40" t="n"/>
      <c r="L24" s="36" t="n"/>
      <c r="U24" s="42" t="n"/>
      <c r="W24" s="36" t="n"/>
      <c r="AF24" s="42" t="n"/>
      <c r="AH24" s="202" t="n"/>
      <c r="AI24" s="204" t="inlineStr">
        <is>
          <t>Age of mother</t>
        </is>
      </c>
      <c r="AJ24" s="202" t="n"/>
      <c r="AM24" s="209" t="n">
        <v>15</v>
      </c>
      <c r="AN24" s="210">
        <f>HLOOKUP(Coefficients!$AJ$8*100+Coefficients!$AJ$12*10+Coefficients!$AJ$28,'Model LTs'!$A$2:$AB$13,11,FALSE)</f>
        <v/>
      </c>
      <c r="AO24" s="211" t="n"/>
    </row>
    <row r="25" ht="12.75" customHeight="1">
      <c r="A25" s="41" t="n"/>
      <c r="C25" s="27" t="n"/>
      <c r="D25" s="27" t="n"/>
      <c r="E25" s="27" t="n"/>
      <c r="F25" s="27" t="n"/>
      <c r="G25" s="27" t="n"/>
      <c r="H25" s="27" t="n"/>
      <c r="I25" s="27" t="n"/>
      <c r="J25" s="40" t="n"/>
      <c r="L25" s="36" t="n"/>
      <c r="U25" s="42" t="n"/>
      <c r="W25" s="36" t="n"/>
      <c r="AF25" s="42" t="n"/>
      <c r="AH25" s="202" t="n"/>
      <c r="AI25" s="206" t="inlineStr">
        <is>
          <t>Duration since first birth</t>
        </is>
      </c>
      <c r="AJ25" s="202" t="n"/>
      <c r="AM25" s="212" t="n">
        <v>20</v>
      </c>
      <c r="AN25" s="213">
        <f>HLOOKUP(Coefficients!$AJ$8*100+Coefficients!$AJ$12*10+Coefficients!$AJ$28,'Model LTs'!$A$2:$AB$13,12,FALSE)</f>
        <v/>
      </c>
      <c r="AO25" s="211" t="n"/>
    </row>
    <row r="26" ht="15" customHeight="1">
      <c r="A26" s="168" t="inlineStr">
        <is>
          <t>Princeton - East</t>
        </is>
      </c>
      <c r="J26" s="198" t="n"/>
      <c r="K26" s="24" t="n"/>
      <c r="L26" s="35" t="n"/>
      <c r="M26" s="24" t="n"/>
      <c r="N26" s="168" t="inlineStr">
        <is>
          <t>Princeton - East</t>
        </is>
      </c>
      <c r="U26" s="198" t="n"/>
      <c r="V26" s="24" t="n"/>
      <c r="W26" s="35" t="n"/>
      <c r="X26" s="24" t="n"/>
      <c r="Y26" s="168" t="inlineStr">
        <is>
          <t>Princeton - East</t>
        </is>
      </c>
      <c r="AF26" s="198" t="n"/>
      <c r="AH26" s="202" t="n"/>
      <c r="AI26" s="205" t="inlineStr">
        <is>
          <t>Duration since marriage</t>
        </is>
      </c>
      <c r="AJ26" s="202" t="n"/>
    </row>
    <row r="27" ht="12.75" customHeight="1">
      <c r="A27" s="51" t="inlineStr">
        <is>
          <t>Age</t>
        </is>
      </c>
      <c r="B27" s="52" t="inlineStr">
        <is>
          <t>x</t>
        </is>
      </c>
      <c r="C27" s="26" t="inlineStr">
        <is>
          <t>a(x,j)</t>
        </is>
      </c>
      <c r="D27" s="26" t="inlineStr">
        <is>
          <t>b(x,j)</t>
        </is>
      </c>
      <c r="E27" s="26" t="inlineStr">
        <is>
          <t>c(x,j)</t>
        </is>
      </c>
      <c r="F27" s="26" t="inlineStr">
        <is>
          <t>d(x,j)</t>
        </is>
      </c>
      <c r="G27" s="26" t="n"/>
      <c r="H27" s="26" t="inlineStr">
        <is>
          <t>e(x,j)</t>
        </is>
      </c>
      <c r="I27" s="26" t="inlineStr">
        <is>
          <t>f(x,j)</t>
        </is>
      </c>
      <c r="J27" s="53" t="inlineStr">
        <is>
          <t>g(x,j)</t>
        </is>
      </c>
      <c r="L27" s="51" t="inlineStr">
        <is>
          <t>Duration</t>
        </is>
      </c>
      <c r="M27" s="52" t="inlineStr">
        <is>
          <t>x</t>
        </is>
      </c>
      <c r="N27" s="26" t="inlineStr">
        <is>
          <t>a(x,j)</t>
        </is>
      </c>
      <c r="O27" s="26" t="inlineStr">
        <is>
          <t>b(x,j)</t>
        </is>
      </c>
      <c r="P27" s="26" t="inlineStr">
        <is>
          <t>c(x,j)</t>
        </is>
      </c>
      <c r="Q27" s="26" t="n"/>
      <c r="R27" s="26" t="n"/>
      <c r="S27" s="26" t="inlineStr">
        <is>
          <t>e(x,j)</t>
        </is>
      </c>
      <c r="T27" s="26" t="inlineStr">
        <is>
          <t>f(x,j)</t>
        </is>
      </c>
      <c r="U27" s="53" t="inlineStr">
        <is>
          <t>g(x,j)</t>
        </is>
      </c>
      <c r="W27" s="51" t="inlineStr">
        <is>
          <t>Duration</t>
        </is>
      </c>
      <c r="X27" s="52" t="inlineStr">
        <is>
          <t>x</t>
        </is>
      </c>
      <c r="Y27" s="26" t="inlineStr">
        <is>
          <t>a(x,j)</t>
        </is>
      </c>
      <c r="Z27" s="26" t="inlineStr">
        <is>
          <t>b(x,j)</t>
        </is>
      </c>
      <c r="AA27" s="26" t="inlineStr">
        <is>
          <t>c(x,j)</t>
        </is>
      </c>
      <c r="AB27" s="26" t="n"/>
      <c r="AC27" s="26" t="n"/>
      <c r="AD27" s="26" t="inlineStr">
        <is>
          <t>e(x,j)</t>
        </is>
      </c>
      <c r="AE27" s="26" t="inlineStr">
        <is>
          <t>f(x,j)</t>
        </is>
      </c>
      <c r="AF27" s="53" t="inlineStr">
        <is>
          <t>g(x,j)</t>
        </is>
      </c>
      <c r="AH27" s="202" t="n"/>
      <c r="AI27" s="202" t="n"/>
      <c r="AJ27" s="202" t="n"/>
    </row>
    <row r="28" ht="12.75" customHeight="1">
      <c r="A28" s="36" t="inlineStr">
        <is>
          <t>15-19</t>
        </is>
      </c>
      <c r="B28" s="20" t="n">
        <v>1</v>
      </c>
      <c r="C28" s="21" t="n">
        <v>1.1461</v>
      </c>
      <c r="D28" s="21" t="n">
        <v>-2.2536</v>
      </c>
      <c r="E28" s="21" t="n">
        <v>0.6259</v>
      </c>
      <c r="F28" s="43" t="n"/>
      <c r="G28" s="43" t="n"/>
      <c r="H28" s="21" t="n">
        <v>1.0959</v>
      </c>
      <c r="I28" s="21" t="n">
        <v>5.5864</v>
      </c>
      <c r="J28" s="37" t="n">
        <v>-1.9949</v>
      </c>
      <c r="L28" s="36" t="inlineStr">
        <is>
          <t>0-4</t>
        </is>
      </c>
      <c r="M28" s="20" t="n">
        <v>2</v>
      </c>
      <c r="N28" s="21" t="n">
        <v>1.2182</v>
      </c>
      <c r="O28" s="21" t="n">
        <v>-0.1809</v>
      </c>
      <c r="P28" s="21" t="n">
        <v>0.0214</v>
      </c>
      <c r="Q28" s="21" t="n"/>
      <c r="S28" s="21" t="n">
        <v>1.68</v>
      </c>
      <c r="T28" s="21" t="n">
        <v>0.99</v>
      </c>
      <c r="U28" s="37" t="n">
        <v>-0.33</v>
      </c>
      <c r="W28" s="36" t="inlineStr">
        <is>
          <t>0-4</t>
        </is>
      </c>
      <c r="X28" s="20" t="n">
        <v>2</v>
      </c>
      <c r="Y28" s="20" t="n">
        <v>1.2299</v>
      </c>
      <c r="Z28" s="20" t="n">
        <v>-0.3998</v>
      </c>
      <c r="AA28" s="20" t="n">
        <v>0.091</v>
      </c>
      <c r="AD28" s="20" t="n">
        <v>1.038</v>
      </c>
      <c r="AE28" s="20" t="n">
        <v>1.4213</v>
      </c>
      <c r="AF28" s="42" t="n">
        <v>-0.3545</v>
      </c>
      <c r="AH28" s="202" t="inlineStr">
        <is>
          <t>Sex</t>
        </is>
      </c>
      <c r="AI28" s="202" t="n"/>
      <c r="AJ28" s="202">
        <f>MATCH(Introduction!D20,Sex,0)</f>
        <v/>
      </c>
    </row>
    <row r="29" ht="12.75" customHeight="1">
      <c r="A29" s="36" t="inlineStr">
        <is>
          <t>20-24</t>
        </is>
      </c>
      <c r="B29" s="20" t="n">
        <v>2</v>
      </c>
      <c r="C29" s="21" t="n">
        <v>1.2231</v>
      </c>
      <c r="D29" s="21" t="n">
        <v>-0.4301</v>
      </c>
      <c r="E29" s="21" t="n">
        <v>-0.2245</v>
      </c>
      <c r="F29" s="43" t="n"/>
      <c r="G29" s="43" t="n"/>
      <c r="H29" s="21" t="n">
        <v>1.2921</v>
      </c>
      <c r="I29" s="21" t="n">
        <v>5.5897</v>
      </c>
      <c r="J29" s="37" t="n">
        <v>0.3631</v>
      </c>
      <c r="L29" s="36" t="inlineStr">
        <is>
          <t>5-9</t>
        </is>
      </c>
      <c r="M29" s="20" t="n">
        <v>5</v>
      </c>
      <c r="N29" s="21" t="n">
        <v>1.2769</v>
      </c>
      <c r="O29" s="21" t="n">
        <v>-0.2268</v>
      </c>
      <c r="P29" s="21" t="n">
        <v>-0.1052</v>
      </c>
      <c r="Q29" s="21" t="n"/>
      <c r="S29" s="21" t="n">
        <v>2.19</v>
      </c>
      <c r="T29" s="21" t="n">
        <v>4.28</v>
      </c>
      <c r="U29" s="37" t="n">
        <v>0.02</v>
      </c>
      <c r="W29" s="36" t="inlineStr">
        <is>
          <t>5-9</t>
        </is>
      </c>
      <c r="X29" s="20" t="n">
        <v>3</v>
      </c>
      <c r="Y29" s="20" t="n">
        <v>1.1611</v>
      </c>
      <c r="Z29" s="20" t="n">
        <v>-0.2451</v>
      </c>
      <c r="AA29" s="20" t="n">
        <v>-0.07969999999999999</v>
      </c>
      <c r="AD29" s="20" t="n">
        <v>1.6441</v>
      </c>
      <c r="AE29" s="20" t="n">
        <v>4.7042</v>
      </c>
      <c r="AF29" s="42" t="n">
        <v>0.06419999999999999</v>
      </c>
      <c r="AH29" s="202" t="n"/>
      <c r="AI29" s="204" t="inlineStr">
        <is>
          <t>Male</t>
        </is>
      </c>
      <c r="AJ29" s="202" t="n"/>
    </row>
    <row r="30" ht="12.75" customHeight="1">
      <c r="A30" s="36" t="inlineStr">
        <is>
          <t>25-29</t>
        </is>
      </c>
      <c r="B30" s="20" t="n">
        <v>3</v>
      </c>
      <c r="C30" s="21" t="n">
        <v>1.1593</v>
      </c>
      <c r="D30" s="21" t="n">
        <v>0.0581</v>
      </c>
      <c r="E30" s="21" t="n">
        <v>-0.3479</v>
      </c>
      <c r="F30" s="43" t="n"/>
      <c r="G30" s="43" t="n"/>
      <c r="H30" s="21" t="n">
        <v>1.5021</v>
      </c>
      <c r="I30" s="21" t="n">
        <v>2.4692</v>
      </c>
      <c r="J30" s="37" t="n">
        <v>5.0927</v>
      </c>
      <c r="L30" s="36" t="inlineStr">
        <is>
          <t>10-14</t>
        </is>
      </c>
      <c r="M30" s="20" t="n">
        <v>5</v>
      </c>
      <c r="N30" s="21" t="n">
        <v>1.2731</v>
      </c>
      <c r="O30" s="21" t="n">
        <v>0.0005</v>
      </c>
      <c r="P30" s="21" t="n">
        <v>-0.372</v>
      </c>
      <c r="Q30" s="21" t="n"/>
      <c r="S30" s="21" t="n">
        <v>0.71</v>
      </c>
      <c r="T30" s="21" t="n">
        <v>3.63</v>
      </c>
      <c r="U30" s="37" t="n">
        <v>6.36</v>
      </c>
      <c r="W30" s="36" t="inlineStr">
        <is>
          <t>10-14</t>
        </is>
      </c>
      <c r="X30" s="20" t="n">
        <v>5</v>
      </c>
      <c r="Y30" s="20" t="n">
        <v>1.2036</v>
      </c>
      <c r="Z30" s="20" t="n">
        <v>0.0171</v>
      </c>
      <c r="AA30" s="20" t="n">
        <v>-0.2992</v>
      </c>
      <c r="AD30" s="20" t="n">
        <v>1.1068</v>
      </c>
      <c r="AE30" s="20" t="n">
        <v>3.3032</v>
      </c>
      <c r="AF30" s="42" t="n">
        <v>5.4464</v>
      </c>
      <c r="AH30" s="202" t="n"/>
      <c r="AI30" s="206" t="inlineStr">
        <is>
          <t>Female</t>
        </is>
      </c>
      <c r="AJ30" s="202" t="n"/>
    </row>
    <row r="31" ht="12.75" customHeight="1">
      <c r="A31" s="36" t="inlineStr">
        <is>
          <t>30-34</t>
        </is>
      </c>
      <c r="B31" s="20" t="n">
        <v>5</v>
      </c>
      <c r="C31" s="21" t="n">
        <v>1.1404</v>
      </c>
      <c r="D31" s="21" t="n">
        <v>0.1991</v>
      </c>
      <c r="E31" s="21" t="n">
        <v>-0.3487</v>
      </c>
      <c r="F31" s="21" t="n"/>
      <c r="G31" s="21" t="n"/>
      <c r="H31" s="21" t="n">
        <v>1.9347</v>
      </c>
      <c r="I31" s="21" t="n">
        <v>-2.6419</v>
      </c>
      <c r="J31" s="37" t="n">
        <v>10.8533</v>
      </c>
      <c r="L31" s="36" t="inlineStr">
        <is>
          <t>15-19</t>
        </is>
      </c>
      <c r="M31" s="20" t="n">
        <v>5</v>
      </c>
      <c r="N31" s="21" t="n">
        <v>1.2585</v>
      </c>
      <c r="O31" s="21" t="n">
        <v>0.1216</v>
      </c>
      <c r="P31" s="21" t="n">
        <v>-0.5013</v>
      </c>
      <c r="Q31" s="21" t="n"/>
      <c r="S31" s="21" t="n">
        <v>-1.96</v>
      </c>
      <c r="T31" s="21" t="n">
        <v>-0.71</v>
      </c>
      <c r="U31" s="37" t="n">
        <v>17.42</v>
      </c>
      <c r="W31" s="36" t="inlineStr">
        <is>
          <t>15-19</t>
        </is>
      </c>
      <c r="X31" s="20" t="n">
        <v>10</v>
      </c>
      <c r="Y31" s="20" t="n">
        <v>1.2773</v>
      </c>
      <c r="Z31" s="20" t="n">
        <v>0.1015</v>
      </c>
      <c r="AA31" s="20" t="n">
        <v>-0.4276</v>
      </c>
      <c r="AD31" s="20" t="n">
        <v>-0.8678</v>
      </c>
      <c r="AE31" s="20" t="n">
        <v>-1.9683</v>
      </c>
      <c r="AF31" s="42" t="n">
        <v>15.5187</v>
      </c>
      <c r="AH31" s="202" t="n"/>
      <c r="AI31" s="205" t="inlineStr">
        <is>
          <t>Both</t>
        </is>
      </c>
      <c r="AJ31" s="202" t="n"/>
    </row>
    <row r="32" ht="12.75" customHeight="1">
      <c r="A32" s="36" t="inlineStr">
        <is>
          <t>35-39</t>
        </is>
      </c>
      <c r="B32" s="20" t="n">
        <v>10</v>
      </c>
      <c r="C32" s="21" t="n">
        <v>1.154</v>
      </c>
      <c r="D32" s="21" t="n">
        <v>0.2511</v>
      </c>
      <c r="E32" s="21" t="n">
        <v>-0.3506</v>
      </c>
      <c r="F32" s="21" t="n"/>
      <c r="G32" s="21" t="n"/>
      <c r="H32" s="21" t="n">
        <v>2.6197</v>
      </c>
      <c r="I32" s="21" t="n">
        <v>-8.9693</v>
      </c>
      <c r="J32" s="37" t="n">
        <v>17.0981</v>
      </c>
      <c r="L32" s="36" t="inlineStr">
        <is>
          <t>20-24</t>
        </is>
      </c>
      <c r="M32" s="20" t="n">
        <v>10</v>
      </c>
      <c r="N32" s="21" t="n">
        <v>1.341</v>
      </c>
      <c r="O32" s="21" t="n">
        <v>0.1749</v>
      </c>
      <c r="P32" s="21" t="n">
        <v>-0.5964</v>
      </c>
      <c r="Q32" s="21" t="n"/>
      <c r="S32" s="21" t="n">
        <v>-4.06</v>
      </c>
      <c r="T32" s="21" t="n">
        <v>-6.35</v>
      </c>
      <c r="U32" s="37" t="n">
        <v>29.14</v>
      </c>
      <c r="W32" s="36" t="inlineStr">
        <is>
          <t>20-24</t>
        </is>
      </c>
      <c r="X32" s="20" t="n">
        <v>15</v>
      </c>
      <c r="Y32" s="20" t="n">
        <v>1.3014</v>
      </c>
      <c r="Z32" s="20" t="n">
        <v>-0.0219</v>
      </c>
      <c r="AA32" s="20" t="n">
        <v>-0.4195</v>
      </c>
      <c r="AD32" s="20" t="n">
        <v>-3.2154</v>
      </c>
      <c r="AE32" s="20" t="n">
        <v>-4.1123</v>
      </c>
      <c r="AF32" s="42" t="n">
        <v>24.8624</v>
      </c>
      <c r="AH32" s="202" t="n"/>
      <c r="AI32" s="202" t="n"/>
      <c r="AJ32" s="202" t="n"/>
    </row>
    <row r="33" ht="12.75" customHeight="1">
      <c r="A33" s="36" t="inlineStr">
        <is>
          <t>40-44</t>
        </is>
      </c>
      <c r="B33" s="20" t="n">
        <v>15</v>
      </c>
      <c r="C33" s="21" t="n">
        <v>1.1336</v>
      </c>
      <c r="D33" s="21" t="n">
        <v>0.2556</v>
      </c>
      <c r="E33" s="21" t="n">
        <v>-0.3428</v>
      </c>
      <c r="F33" s="21" t="n"/>
      <c r="G33" s="21" t="n"/>
      <c r="H33" s="21" t="n">
        <v>4.1317</v>
      </c>
      <c r="I33" s="21" t="n">
        <v>-14.355</v>
      </c>
      <c r="J33" s="37" t="n">
        <v>21.8247</v>
      </c>
      <c r="L33" s="36" t="n"/>
      <c r="U33" s="42" t="n"/>
      <c r="W33" s="36" t="inlineStr">
        <is>
          <t>25-29</t>
        </is>
      </c>
      <c r="X33" s="20" t="n">
        <v>20</v>
      </c>
      <c r="Y33" s="83" t="n">
        <v>1.316</v>
      </c>
      <c r="Z33" s="23" t="n">
        <v>-0.163</v>
      </c>
      <c r="AA33" s="20" t="n">
        <v>-0.3751</v>
      </c>
      <c r="AD33" s="20" t="n">
        <v>-3.3885</v>
      </c>
      <c r="AE33" s="20" t="n">
        <v>1.6746</v>
      </c>
      <c r="AF33" s="42" t="n">
        <v>26.9798</v>
      </c>
      <c r="AH33" s="202" t="inlineStr">
        <is>
          <t>Valid combinations</t>
        </is>
      </c>
      <c r="AI33" s="202" t="n"/>
      <c r="AJ33" s="202">
        <f>VLOOKUP(100*AJ8+10*AJ12+AJ23,$AI$34:$AI$50,1,FALSE)</f>
        <v/>
      </c>
    </row>
    <row r="34" ht="12.75" customHeight="1">
      <c r="A34" s="36" t="inlineStr">
        <is>
          <t>45-49</t>
        </is>
      </c>
      <c r="B34" s="20" t="n">
        <v>20</v>
      </c>
      <c r="C34" s="21" t="n">
        <v>1.1201</v>
      </c>
      <c r="D34" s="21" t="n">
        <v>0.2362</v>
      </c>
      <c r="E34" s="21" t="n">
        <v>-0.3268</v>
      </c>
      <c r="F34" s="21" t="n"/>
      <c r="G34" s="21" t="n"/>
      <c r="H34" s="21" t="n">
        <v>7.3657</v>
      </c>
      <c r="I34" s="21" t="n">
        <v>-15.8083</v>
      </c>
      <c r="J34" s="37" t="n">
        <v>22.3005</v>
      </c>
      <c r="L34" s="36" t="n"/>
      <c r="U34" s="42" t="n"/>
      <c r="W34" s="36" t="n"/>
      <c r="AF34" s="42" t="n"/>
      <c r="AH34" s="202" t="n"/>
      <c r="AI34" s="204" t="n">
        <v>111</v>
      </c>
      <c r="AJ34" s="202" t="n"/>
    </row>
    <row r="35" ht="12.75" customHeight="1">
      <c r="A35" s="36" t="n"/>
      <c r="J35" s="42" t="n"/>
      <c r="L35" s="36" t="n"/>
      <c r="U35" s="42" t="n"/>
      <c r="W35" s="36" t="n"/>
      <c r="AF35" s="42" t="n"/>
      <c r="AH35" s="202" t="n"/>
      <c r="AI35" s="206" t="n">
        <v>121</v>
      </c>
      <c r="AJ35" s="202" t="n"/>
    </row>
    <row r="36" ht="12.75" customHeight="1">
      <c r="A36" s="36" t="n"/>
      <c r="J36" s="42" t="n"/>
      <c r="L36" s="36" t="n"/>
      <c r="U36" s="42" t="n"/>
      <c r="W36" s="36" t="n"/>
      <c r="AF36" s="42" t="n"/>
      <c r="AH36" s="202" t="n"/>
      <c r="AI36" s="206" t="n">
        <v>131</v>
      </c>
      <c r="AJ36" s="202" t="n"/>
    </row>
    <row r="37" ht="15" customHeight="1">
      <c r="A37" s="168" t="inlineStr">
        <is>
          <t>Princeton - West</t>
        </is>
      </c>
      <c r="J37" s="198" t="n"/>
      <c r="K37" s="24" t="n"/>
      <c r="L37" s="35" t="n"/>
      <c r="M37" s="24" t="n"/>
      <c r="N37" s="168" t="inlineStr">
        <is>
          <t>Princeton - West</t>
        </is>
      </c>
      <c r="U37" s="198" t="n"/>
      <c r="V37" s="24" t="n"/>
      <c r="W37" s="35" t="n"/>
      <c r="X37" s="24" t="n"/>
      <c r="Y37" s="168" t="inlineStr">
        <is>
          <t>Princeton - West</t>
        </is>
      </c>
      <c r="AF37" s="198" t="n"/>
      <c r="AH37" s="202" t="n"/>
      <c r="AI37" s="206" t="n">
        <v>141</v>
      </c>
      <c r="AJ37" s="202" t="n"/>
    </row>
    <row r="38" ht="12.75" customHeight="1">
      <c r="A38" s="51" t="inlineStr">
        <is>
          <t>Age</t>
        </is>
      </c>
      <c r="B38" s="52" t="inlineStr">
        <is>
          <t>x</t>
        </is>
      </c>
      <c r="C38" s="26" t="inlineStr">
        <is>
          <t>a(x,j)</t>
        </is>
      </c>
      <c r="D38" s="26" t="inlineStr">
        <is>
          <t>b(x,j)</t>
        </is>
      </c>
      <c r="E38" s="26" t="inlineStr">
        <is>
          <t>c(x,j)</t>
        </is>
      </c>
      <c r="F38" s="26" t="inlineStr">
        <is>
          <t>d(x,j)</t>
        </is>
      </c>
      <c r="G38" s="26" t="n"/>
      <c r="H38" s="26" t="inlineStr">
        <is>
          <t>e(x,j)</t>
        </is>
      </c>
      <c r="I38" s="26" t="inlineStr">
        <is>
          <t>f(x,j)</t>
        </is>
      </c>
      <c r="J38" s="53" t="inlineStr">
        <is>
          <t>g(x,j)</t>
        </is>
      </c>
      <c r="L38" s="51" t="inlineStr">
        <is>
          <t>Duration</t>
        </is>
      </c>
      <c r="M38" s="52" t="inlineStr">
        <is>
          <t>x</t>
        </is>
      </c>
      <c r="N38" s="26" t="inlineStr">
        <is>
          <t>a(x,j)</t>
        </is>
      </c>
      <c r="O38" s="26" t="inlineStr">
        <is>
          <t>b(x,j)</t>
        </is>
      </c>
      <c r="P38" s="26" t="inlineStr">
        <is>
          <t>c(x,j)</t>
        </is>
      </c>
      <c r="Q38" s="26" t="n"/>
      <c r="R38" s="26" t="n"/>
      <c r="S38" s="26" t="inlineStr">
        <is>
          <t>e(x,j)</t>
        </is>
      </c>
      <c r="T38" s="26" t="inlineStr">
        <is>
          <t>f(x,j)</t>
        </is>
      </c>
      <c r="U38" s="53" t="inlineStr">
        <is>
          <t>g(x,j)</t>
        </is>
      </c>
      <c r="W38" s="51" t="inlineStr">
        <is>
          <t>Duration</t>
        </is>
      </c>
      <c r="X38" s="52" t="inlineStr">
        <is>
          <t>x</t>
        </is>
      </c>
      <c r="Y38" s="26" t="inlineStr">
        <is>
          <t>a(x,j)</t>
        </is>
      </c>
      <c r="Z38" s="26" t="inlineStr">
        <is>
          <t>b(x,j)</t>
        </is>
      </c>
      <c r="AA38" s="26" t="inlineStr">
        <is>
          <t>c(x,j)</t>
        </is>
      </c>
      <c r="AB38" s="26" t="n"/>
      <c r="AC38" s="26" t="n"/>
      <c r="AD38" s="26" t="inlineStr">
        <is>
          <t>e(x,j)</t>
        </is>
      </c>
      <c r="AE38" s="26" t="inlineStr">
        <is>
          <t>f(x,j)</t>
        </is>
      </c>
      <c r="AF38" s="53" t="inlineStr">
        <is>
          <t>g(x,j)</t>
        </is>
      </c>
      <c r="AH38" s="202" t="n"/>
      <c r="AI38" s="206" t="n">
        <v>211</v>
      </c>
      <c r="AJ38" s="202" t="n"/>
    </row>
    <row r="39" ht="12.75" customHeight="1">
      <c r="A39" s="36" t="inlineStr">
        <is>
          <t>15-19</t>
        </is>
      </c>
      <c r="B39" s="20" t="n">
        <v>1</v>
      </c>
      <c r="C39" s="21" t="n">
        <v>1.1415</v>
      </c>
      <c r="D39" s="21" t="n">
        <v>-2.707</v>
      </c>
      <c r="E39" s="21" t="n">
        <v>0.7663</v>
      </c>
      <c r="F39" s="21" t="n"/>
      <c r="G39" s="21" t="n"/>
      <c r="H39" s="21" t="n">
        <v>1.097</v>
      </c>
      <c r="I39" s="21" t="n">
        <v>5.5628</v>
      </c>
      <c r="J39" s="37" t="n">
        <v>-1.9956</v>
      </c>
      <c r="L39" s="36" t="inlineStr">
        <is>
          <t>0-4</t>
        </is>
      </c>
      <c r="M39" s="20" t="n">
        <v>2</v>
      </c>
      <c r="N39" s="21" t="n">
        <v>1.2049</v>
      </c>
      <c r="O39" s="21" t="n">
        <v>-0.1553</v>
      </c>
      <c r="P39" s="21" t="n">
        <v>0.0135</v>
      </c>
      <c r="S39" s="21" t="n">
        <v>1.7</v>
      </c>
      <c r="T39" s="21" t="n">
        <v>1.03</v>
      </c>
      <c r="U39" s="37" t="n">
        <v>-0.34</v>
      </c>
      <c r="W39" s="36" t="inlineStr">
        <is>
          <t>0-4</t>
        </is>
      </c>
      <c r="X39" s="20" t="n">
        <v>2</v>
      </c>
      <c r="Y39" s="20" t="n">
        <v>1.2584</v>
      </c>
      <c r="Z39" s="20" t="n">
        <v>-0.4683</v>
      </c>
      <c r="AA39" s="20" t="n">
        <v>0.108</v>
      </c>
      <c r="AD39" s="20" t="n">
        <v>1.0349</v>
      </c>
      <c r="AE39" s="20" t="n">
        <v>1.3714</v>
      </c>
      <c r="AF39" s="42" t="n">
        <v>-0.339</v>
      </c>
      <c r="AH39" s="202" t="n"/>
      <c r="AI39" s="206" t="n">
        <v>221</v>
      </c>
      <c r="AJ39" s="202" t="n"/>
    </row>
    <row r="40" ht="12.75" customHeight="1">
      <c r="A40" s="36" t="inlineStr">
        <is>
          <t>20-24</t>
        </is>
      </c>
      <c r="B40" s="20" t="n">
        <v>2</v>
      </c>
      <c r="C40" s="21" t="n">
        <v>1.2563</v>
      </c>
      <c r="D40" s="21" t="n">
        <v>-0.5381</v>
      </c>
      <c r="E40" s="21" t="n">
        <v>-0.2637</v>
      </c>
      <c r="F40" s="21" t="n"/>
      <c r="G40" s="21" t="n"/>
      <c r="H40" s="21" t="n">
        <v>1.3062</v>
      </c>
      <c r="I40" s="21" t="n">
        <v>5.5677</v>
      </c>
      <c r="J40" s="37" t="n">
        <v>0.2962</v>
      </c>
      <c r="L40" s="36" t="inlineStr">
        <is>
          <t>5-9</t>
        </is>
      </c>
      <c r="M40" s="20" t="n">
        <v>5</v>
      </c>
      <c r="N40" s="21" t="n">
        <v>1.2573</v>
      </c>
      <c r="O40" s="21" t="n">
        <v>-0.2266</v>
      </c>
      <c r="P40" s="21" t="n">
        <v>-0.0944</v>
      </c>
      <c r="S40" s="21" t="n">
        <v>2.2</v>
      </c>
      <c r="T40" s="21" t="n">
        <v>4.2</v>
      </c>
      <c r="U40" s="37" t="n">
        <v>0.06</v>
      </c>
      <c r="W40" s="36" t="inlineStr">
        <is>
          <t>5-9</t>
        </is>
      </c>
      <c r="X40" s="20" t="n">
        <v>3</v>
      </c>
      <c r="Y40" s="20" t="n">
        <v>1.1841</v>
      </c>
      <c r="Z40" s="20" t="n">
        <v>-0.3006</v>
      </c>
      <c r="AA40" s="20" t="n">
        <v>-0.0892</v>
      </c>
      <c r="AD40" s="20" t="n">
        <v>1.6654</v>
      </c>
      <c r="AE40" s="20" t="n">
        <v>4.4588</v>
      </c>
      <c r="AF40" s="42" t="n">
        <v>0.0233</v>
      </c>
      <c r="AH40" s="202" t="n"/>
      <c r="AI40" s="206" t="n">
        <v>231</v>
      </c>
      <c r="AJ40" s="202" t="n"/>
    </row>
    <row r="41" ht="12.75" customHeight="1">
      <c r="A41" s="36" t="inlineStr">
        <is>
          <t>25-29</t>
        </is>
      </c>
      <c r="B41" s="20" t="n">
        <v>3</v>
      </c>
      <c r="C41" s="21" t="n">
        <v>1.1851</v>
      </c>
      <c r="D41" s="21" t="n">
        <v>0.0633</v>
      </c>
      <c r="E41" s="21" t="n">
        <v>-0.4177</v>
      </c>
      <c r="F41" s="21" t="n"/>
      <c r="G41" s="21" t="n"/>
      <c r="H41" s="21" t="n">
        <v>1.5305</v>
      </c>
      <c r="I41" s="21" t="n">
        <v>2.5528</v>
      </c>
      <c r="J41" s="37" t="n">
        <v>4.8962</v>
      </c>
      <c r="L41" s="36" t="inlineStr">
        <is>
          <t>10-14</t>
        </is>
      </c>
      <c r="M41" s="20" t="n">
        <v>5</v>
      </c>
      <c r="N41" s="21" t="n">
        <v>1.2431</v>
      </c>
      <c r="O41" s="21" t="n">
        <v>-0.023</v>
      </c>
      <c r="P41" s="21" t="n">
        <v>-0.3409</v>
      </c>
      <c r="S41" s="21" t="n">
        <v>0.86</v>
      </c>
      <c r="T41" s="21" t="n">
        <v>3.47</v>
      </c>
      <c r="U41" s="37" t="n">
        <v>6.21</v>
      </c>
      <c r="W41" s="36" t="inlineStr">
        <is>
          <t>10-14</t>
        </is>
      </c>
      <c r="X41" s="20" t="n">
        <v>5</v>
      </c>
      <c r="Y41" s="20" t="n">
        <v>1.2446</v>
      </c>
      <c r="Z41" s="20" t="n">
        <v>0.0131</v>
      </c>
      <c r="AA41" s="20" t="n">
        <v>-0.3555</v>
      </c>
      <c r="AD41" s="20" t="n">
        <v>1.2109</v>
      </c>
      <c r="AE41" s="20" t="n">
        <v>3.3291</v>
      </c>
      <c r="AF41" s="42" t="n">
        <v>5.1402</v>
      </c>
      <c r="AH41" s="202" t="n"/>
      <c r="AI41" s="206" t="n">
        <v>241</v>
      </c>
      <c r="AJ41" s="202" t="n"/>
    </row>
    <row r="42" ht="12.75" customHeight="1">
      <c r="A42" s="36" t="inlineStr">
        <is>
          <t>30-34</t>
        </is>
      </c>
      <c r="B42" s="20" t="n">
        <v>5</v>
      </c>
      <c r="C42" s="21" t="n">
        <v>1.172</v>
      </c>
      <c r="D42" s="21" t="n">
        <v>0.2341</v>
      </c>
      <c r="E42" s="21" t="n">
        <v>-0.4272</v>
      </c>
      <c r="F42" s="21" t="n"/>
      <c r="G42" s="21" t="n"/>
      <c r="H42" s="21" t="n">
        <v>1.9991</v>
      </c>
      <c r="I42" s="21" t="n">
        <v>-2.4261</v>
      </c>
      <c r="J42" s="37" t="n">
        <v>10.4282</v>
      </c>
      <c r="L42" s="36" t="inlineStr">
        <is>
          <t>15-19</t>
        </is>
      </c>
      <c r="M42" s="20" t="n">
        <v>5</v>
      </c>
      <c r="N42" s="21" t="n">
        <v>1.2469</v>
      </c>
      <c r="O42" s="21" t="n">
        <v>0.0999</v>
      </c>
      <c r="P42" s="21" t="n">
        <v>-0.5266999999999999</v>
      </c>
      <c r="S42" s="21" t="n">
        <v>-1.46</v>
      </c>
      <c r="T42" s="21" t="n">
        <v>-0.6899999999999999</v>
      </c>
      <c r="U42" s="37" t="n">
        <v>16.49</v>
      </c>
      <c r="W42" s="36" t="inlineStr">
        <is>
          <t>15-19</t>
        </is>
      </c>
      <c r="X42" s="20" t="n">
        <v>10</v>
      </c>
      <c r="Y42" s="20" t="n">
        <v>1.3353</v>
      </c>
      <c r="Z42" s="20" t="n">
        <v>0.1157</v>
      </c>
      <c r="AA42" s="20" t="n">
        <v>-0.5245</v>
      </c>
      <c r="AD42" s="20" t="n">
        <v>-0.537</v>
      </c>
      <c r="AE42" s="20" t="n">
        <v>-1.7679</v>
      </c>
      <c r="AF42" s="42" t="n">
        <v>14.637</v>
      </c>
      <c r="AH42" s="202" t="n"/>
      <c r="AI42" s="206" t="n">
        <v>251</v>
      </c>
      <c r="AJ42" s="202" t="n"/>
    </row>
    <row r="43" ht="12.75" customHeight="1">
      <c r="A43" s="36" t="inlineStr">
        <is>
          <t>35-39</t>
        </is>
      </c>
      <c r="B43" s="20" t="n">
        <v>10</v>
      </c>
      <c r="C43" s="21" t="n">
        <v>1.1865</v>
      </c>
      <c r="D43" s="21" t="n">
        <v>0.308</v>
      </c>
      <c r="E43" s="21" t="n">
        <v>-0.4452</v>
      </c>
      <c r="F43" s="21" t="n"/>
      <c r="G43" s="21" t="n"/>
      <c r="H43" s="21" t="n">
        <v>2.7632</v>
      </c>
      <c r="I43" s="21" t="n">
        <v>-8.406499999999999</v>
      </c>
      <c r="J43" s="37" t="n">
        <v>16.1787</v>
      </c>
      <c r="L43" s="36" t="inlineStr">
        <is>
          <t>20-24</t>
        </is>
      </c>
      <c r="M43" s="20" t="n">
        <v>10</v>
      </c>
      <c r="N43" s="21" t="n">
        <v>1.4258</v>
      </c>
      <c r="O43" s="21" t="n">
        <v>0.1948</v>
      </c>
      <c r="P43" s="21" t="n">
        <v>-0.7454</v>
      </c>
      <c r="S43" s="21" t="n">
        <v>-2.97</v>
      </c>
      <c r="T43" s="21" t="n">
        <v>-5.8</v>
      </c>
      <c r="U43" s="37" t="n">
        <v>26.65</v>
      </c>
      <c r="W43" s="36" t="inlineStr">
        <is>
          <t>20-24</t>
        </is>
      </c>
      <c r="X43" s="20" t="n">
        <v>15</v>
      </c>
      <c r="Y43" s="20" t="n">
        <v>1.3875</v>
      </c>
      <c r="Z43" s="20" t="n">
        <v>-0.0193</v>
      </c>
      <c r="AA43" s="20" t="n">
        <v>-0.5472</v>
      </c>
      <c r="AD43" s="20" t="n">
        <v>-2.4694</v>
      </c>
      <c r="AE43" s="20" t="n">
        <v>-3.9194</v>
      </c>
      <c r="AF43" s="42" t="n">
        <v>23.0999</v>
      </c>
      <c r="AH43" s="202" t="n"/>
      <c r="AI43" s="206" t="n">
        <v>112</v>
      </c>
      <c r="AJ43" s="202" t="n"/>
    </row>
    <row r="44" ht="12.75" customHeight="1">
      <c r="A44" s="36" t="inlineStr">
        <is>
          <t>40-44</t>
        </is>
      </c>
      <c r="B44" s="20" t="n">
        <v>15</v>
      </c>
      <c r="C44" s="21" t="n">
        <v>1.1746</v>
      </c>
      <c r="D44" s="21" t="n">
        <v>0.3314</v>
      </c>
      <c r="E44" s="21" t="n">
        <v>-0.4537</v>
      </c>
      <c r="F44" s="21" t="n"/>
      <c r="G44" s="21" t="n"/>
      <c r="H44" s="21" t="n">
        <v>4.3468</v>
      </c>
      <c r="I44" s="21" t="n">
        <v>-13.2436</v>
      </c>
      <c r="J44" s="37" t="n">
        <v>20.199</v>
      </c>
      <c r="L44" s="44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6" t="n"/>
      <c r="W44" s="44" t="inlineStr">
        <is>
          <t>25-29</t>
        </is>
      </c>
      <c r="X44" s="45" t="n">
        <v>20</v>
      </c>
      <c r="Y44" s="45" t="n">
        <v>1.4227</v>
      </c>
      <c r="Z44" s="45" t="n">
        <v>-0.1954</v>
      </c>
      <c r="AA44" s="45" t="n">
        <v>-0.5127</v>
      </c>
      <c r="AB44" s="45" t="n"/>
      <c r="AC44" s="45" t="n"/>
      <c r="AD44" s="45" t="n">
        <v>-2.2107</v>
      </c>
      <c r="AE44" s="45" t="n">
        <v>1.3059</v>
      </c>
      <c r="AF44" s="46" t="n">
        <v>24.4479</v>
      </c>
      <c r="AH44" s="202" t="n"/>
      <c r="AI44" s="206" t="n">
        <v>122</v>
      </c>
      <c r="AJ44" s="202" t="n"/>
    </row>
    <row r="45" ht="12.75" customHeight="1">
      <c r="A45" s="36" t="inlineStr">
        <is>
          <t>45-49</t>
        </is>
      </c>
      <c r="B45" s="20" t="n">
        <v>20</v>
      </c>
      <c r="C45" s="21" t="n">
        <v>1.1639</v>
      </c>
      <c r="D45" s="21" t="n">
        <v>0.319</v>
      </c>
      <c r="E45" s="21" t="n">
        <v>-0.4435</v>
      </c>
      <c r="F45" s="21" t="n"/>
      <c r="G45" s="21" t="n"/>
      <c r="H45" s="21" t="n">
        <v>7.5242</v>
      </c>
      <c r="I45" s="21" t="n">
        <v>-14.2013</v>
      </c>
      <c r="J45" s="37" t="n">
        <v>20.0162</v>
      </c>
      <c r="AH45" s="202" t="n"/>
      <c r="AI45" s="206" t="n">
        <v>132</v>
      </c>
      <c r="AJ45" s="202" t="n"/>
    </row>
    <row r="46" ht="12.75" customHeight="1">
      <c r="A46" s="36" t="n"/>
      <c r="J46" s="42" t="n"/>
      <c r="AH46" s="202" t="n"/>
      <c r="AI46" s="206" t="n">
        <v>142</v>
      </c>
      <c r="AJ46" s="202" t="n"/>
    </row>
    <row r="47" ht="12.75" customHeight="1">
      <c r="A47" s="36" t="n"/>
      <c r="J47" s="42" t="n"/>
      <c r="AH47" s="202" t="n"/>
      <c r="AI47" s="206" t="n">
        <v>113</v>
      </c>
      <c r="AJ47" s="202" t="n"/>
    </row>
    <row r="48" ht="12.75" customHeight="1">
      <c r="A48" s="168" t="inlineStr">
        <is>
          <t>UN - Latin America</t>
        </is>
      </c>
      <c r="J48" s="198" t="n"/>
      <c r="AH48" s="202" t="n"/>
      <c r="AI48" s="206" t="n">
        <v>123</v>
      </c>
      <c r="AJ48" s="202" t="n"/>
    </row>
    <row r="49" ht="12.75" customHeight="1">
      <c r="A49" s="51" t="inlineStr">
        <is>
          <t>Age</t>
        </is>
      </c>
      <c r="B49" s="52" t="inlineStr">
        <is>
          <t>x</t>
        </is>
      </c>
      <c r="C49" s="26" t="inlineStr">
        <is>
          <t>a(x,j)</t>
        </is>
      </c>
      <c r="D49" s="26" t="inlineStr">
        <is>
          <t>b(x,j)</t>
        </is>
      </c>
      <c r="E49" s="26" t="inlineStr">
        <is>
          <t>c(x,j)</t>
        </is>
      </c>
      <c r="F49" s="26" t="inlineStr">
        <is>
          <t>d(x,j)</t>
        </is>
      </c>
      <c r="G49" s="26" t="n"/>
      <c r="H49" s="26" t="inlineStr">
        <is>
          <t>e(x,j)</t>
        </is>
      </c>
      <c r="I49" s="26" t="inlineStr">
        <is>
          <t>f(x,j)</t>
        </is>
      </c>
      <c r="J49" s="53" t="inlineStr">
        <is>
          <t>g(x,j)</t>
        </is>
      </c>
      <c r="AH49" s="202" t="n"/>
      <c r="AI49" s="206" t="n">
        <v>133</v>
      </c>
      <c r="AJ49" s="202" t="n"/>
    </row>
    <row r="50" ht="12.75" customHeight="1">
      <c r="A50" s="36" t="inlineStr">
        <is>
          <t>15-19</t>
        </is>
      </c>
      <c r="B50" s="20" t="n">
        <v>1</v>
      </c>
      <c r="C50" s="21" t="n">
        <v>0.6892</v>
      </c>
      <c r="D50" s="21" t="n">
        <v>-1.6937</v>
      </c>
      <c r="E50" s="21" t="n">
        <v>0.6464</v>
      </c>
      <c r="F50" s="21" t="n">
        <v>0.0106</v>
      </c>
      <c r="H50" s="21" t="n">
        <v>1.1703</v>
      </c>
      <c r="I50" s="21" t="n">
        <v>0.5129</v>
      </c>
      <c r="J50" s="37" t="n">
        <v>-0.385</v>
      </c>
      <c r="AH50" s="202" t="n"/>
      <c r="AI50" s="205" t="n">
        <v>143</v>
      </c>
      <c r="AJ50" s="202" t="n"/>
    </row>
    <row r="51" ht="12.75" customHeight="1">
      <c r="A51" s="36" t="inlineStr">
        <is>
          <t>20-24</t>
        </is>
      </c>
      <c r="B51" s="20" t="n">
        <v>2</v>
      </c>
      <c r="C51" s="21" t="n">
        <v>1.3625</v>
      </c>
      <c r="D51" s="21" t="n">
        <v>-0.3778</v>
      </c>
      <c r="E51" s="21" t="n">
        <v>-0.2892</v>
      </c>
      <c r="F51" s="21" t="n">
        <v>-0.0041</v>
      </c>
      <c r="H51" s="21" t="n">
        <v>1.6955</v>
      </c>
      <c r="I51" s="21" t="n">
        <v>4.132</v>
      </c>
      <c r="J51" s="37" t="n">
        <v>-0.1635</v>
      </c>
      <c r="AH51" s="202" t="n"/>
      <c r="AI51" s="202" t="n"/>
      <c r="AJ51" s="202" t="n"/>
    </row>
    <row r="52" ht="12.75" customHeight="1">
      <c r="A52" s="36" t="inlineStr">
        <is>
          <t>25-29</t>
        </is>
      </c>
      <c r="B52" s="20" t="n">
        <v>3</v>
      </c>
      <c r="C52" s="21" t="n">
        <v>1.0877</v>
      </c>
      <c r="D52" s="21" t="n">
        <v>0.0197</v>
      </c>
      <c r="E52" s="21" t="n">
        <v>-0.2986</v>
      </c>
      <c r="F52" s="21" t="n">
        <v>0.0024</v>
      </c>
      <c r="H52" s="21" t="n">
        <v>1.8296</v>
      </c>
      <c r="I52" s="21" t="n">
        <v>2.902</v>
      </c>
      <c r="J52" s="37" t="n">
        <v>3.4707</v>
      </c>
    </row>
    <row r="53" ht="12.75" customHeight="1">
      <c r="A53" s="36" t="inlineStr">
        <is>
          <t>30-34</t>
        </is>
      </c>
      <c r="B53" s="20" t="n">
        <v>5</v>
      </c>
      <c r="C53" s="21" t="n">
        <v>0.75</v>
      </c>
      <c r="D53" s="21" t="n">
        <v>0.0532</v>
      </c>
      <c r="E53" s="21" t="n">
        <v>-0.1106</v>
      </c>
      <c r="F53" s="21" t="n">
        <v>0.0115</v>
      </c>
      <c r="H53" s="21" t="n">
        <v>2.1783</v>
      </c>
      <c r="I53" s="21" t="n">
        <v>-2.5688</v>
      </c>
      <c r="J53" s="37" t="n">
        <v>9.0883</v>
      </c>
    </row>
    <row r="54" ht="12.75" customHeight="1">
      <c r="A54" s="36" t="inlineStr">
        <is>
          <t>35-39</t>
        </is>
      </c>
      <c r="B54" s="20" t="n">
        <v>10</v>
      </c>
      <c r="C54" s="21" t="n">
        <v>0.5605</v>
      </c>
      <c r="D54" s="21" t="n">
        <v>0.0222</v>
      </c>
      <c r="E54" s="21" t="n">
        <v>0.017</v>
      </c>
      <c r="F54" s="21" t="n">
        <v>0.0171</v>
      </c>
      <c r="H54" s="21" t="n">
        <v>2.8836</v>
      </c>
      <c r="I54" s="21" t="n">
        <v>-10.3282</v>
      </c>
      <c r="J54" s="37" t="n">
        <v>15.4301</v>
      </c>
    </row>
    <row r="55" ht="12.75" customHeight="1">
      <c r="A55" s="36" t="inlineStr">
        <is>
          <t>40-44</t>
        </is>
      </c>
      <c r="B55" s="20" t="n">
        <v>15</v>
      </c>
      <c r="C55" s="21" t="n">
        <v>0.5024</v>
      </c>
      <c r="D55" s="21" t="n">
        <v>0.0028</v>
      </c>
      <c r="E55" s="21" t="n">
        <v>0.0048</v>
      </c>
      <c r="F55" s="21" t="n">
        <v>0.018</v>
      </c>
      <c r="H55" s="21" t="n">
        <v>4.458</v>
      </c>
      <c r="I55" s="21" t="n">
        <v>-17.1809</v>
      </c>
      <c r="J55" s="37" t="n">
        <v>20.4296</v>
      </c>
    </row>
    <row r="56" ht="12.75" customHeight="1">
      <c r="A56" s="36" t="inlineStr">
        <is>
          <t>45-49</t>
        </is>
      </c>
      <c r="B56" s="20" t="n">
        <v>20</v>
      </c>
      <c r="C56" s="21" t="n">
        <v>0.5326</v>
      </c>
      <c r="D56" s="21" t="n">
        <v>0.0052</v>
      </c>
      <c r="E56" s="21" t="n">
        <v>0.0256</v>
      </c>
      <c r="F56" s="21" t="n">
        <v>0.0168</v>
      </c>
      <c r="H56" s="21" t="n">
        <v>6.9351</v>
      </c>
      <c r="I56" s="21" t="n">
        <v>-19.3871</v>
      </c>
      <c r="J56" s="37" t="n">
        <v>23.4007</v>
      </c>
    </row>
    <row r="57" ht="12.75" customHeight="1">
      <c r="A57" s="36" t="n"/>
      <c r="J57" s="42" t="n"/>
    </row>
    <row r="58" ht="12.75" customHeight="1">
      <c r="A58" s="36" t="n"/>
      <c r="J58" s="42" t="n"/>
    </row>
    <row r="59" ht="12.75" customHeight="1">
      <c r="A59" s="168" t="inlineStr">
        <is>
          <t>UN - Chile</t>
        </is>
      </c>
      <c r="J59" s="198" t="n"/>
    </row>
    <row r="60" ht="12.75" customHeight="1">
      <c r="A60" s="51" t="inlineStr">
        <is>
          <t>Age</t>
        </is>
      </c>
      <c r="B60" s="52" t="inlineStr">
        <is>
          <t>x</t>
        </is>
      </c>
      <c r="C60" s="26" t="inlineStr">
        <is>
          <t>a(x,j)</t>
        </is>
      </c>
      <c r="D60" s="26" t="inlineStr">
        <is>
          <t>b(x,j)</t>
        </is>
      </c>
      <c r="E60" s="26" t="inlineStr">
        <is>
          <t>c(x,j)</t>
        </is>
      </c>
      <c r="F60" s="26" t="inlineStr">
        <is>
          <t>d(x,j)</t>
        </is>
      </c>
      <c r="G60" s="26" t="n"/>
      <c r="H60" s="26" t="inlineStr">
        <is>
          <t>e(x,j)</t>
        </is>
      </c>
      <c r="I60" s="26" t="inlineStr">
        <is>
          <t>f(x,j)</t>
        </is>
      </c>
      <c r="J60" s="53" t="inlineStr">
        <is>
          <t>g(x,j)</t>
        </is>
      </c>
    </row>
    <row r="61" ht="12.75" customHeight="1">
      <c r="A61" s="36" t="inlineStr">
        <is>
          <t>15-19</t>
        </is>
      </c>
      <c r="B61" s="20" t="n">
        <v>1</v>
      </c>
      <c r="C61" s="21" t="n">
        <v>0.8274</v>
      </c>
      <c r="D61" s="21" t="n">
        <v>-1.5854</v>
      </c>
      <c r="E61" s="21" t="n">
        <v>0.5949</v>
      </c>
      <c r="F61" s="21" t="n">
        <v>0.0097</v>
      </c>
      <c r="G61" s="21" t="n"/>
      <c r="H61" s="21" t="n">
        <v>1.3092</v>
      </c>
      <c r="I61" s="21" t="n">
        <v>1.9474</v>
      </c>
      <c r="J61" s="37" t="n">
        <v>-0.7982</v>
      </c>
    </row>
    <row r="62" ht="12.75" customHeight="1">
      <c r="A62" s="36" t="inlineStr">
        <is>
          <t>20-24</t>
        </is>
      </c>
      <c r="B62" s="20" t="n">
        <v>2</v>
      </c>
      <c r="C62" s="21" t="n">
        <v>1.3129</v>
      </c>
      <c r="D62" s="21" t="n">
        <v>-0.2457</v>
      </c>
      <c r="E62" s="21" t="n">
        <v>-0.2329</v>
      </c>
      <c r="F62" s="21" t="n">
        <v>-0.0031</v>
      </c>
      <c r="G62" s="21" t="n"/>
      <c r="H62" s="21" t="n">
        <v>1.6897</v>
      </c>
      <c r="I62" s="21" t="n">
        <v>4.6176</v>
      </c>
      <c r="J62" s="37" t="n">
        <v>-0.0173</v>
      </c>
    </row>
    <row r="63" ht="12.75" customHeight="1">
      <c r="A63" s="36" t="inlineStr">
        <is>
          <t>25-29</t>
        </is>
      </c>
      <c r="B63" s="20" t="n">
        <v>3</v>
      </c>
      <c r="C63" s="21" t="n">
        <v>1.0632</v>
      </c>
      <c r="D63" s="21" t="n">
        <v>0.0196</v>
      </c>
      <c r="E63" s="21" t="n">
        <v>-0.1996</v>
      </c>
      <c r="F63" s="21" t="n">
        <v>0.0021</v>
      </c>
      <c r="G63" s="21" t="n"/>
      <c r="H63" s="21" t="n">
        <v>1.8368</v>
      </c>
      <c r="I63" s="21" t="n">
        <v>2.637</v>
      </c>
      <c r="J63" s="37" t="n">
        <v>4.0305</v>
      </c>
    </row>
    <row r="64" ht="12.75" customHeight="1">
      <c r="A64" s="36" t="inlineStr">
        <is>
          <t>30-34</t>
        </is>
      </c>
      <c r="B64" s="20" t="n">
        <v>5</v>
      </c>
      <c r="C64" s="21" t="n">
        <v>0.8236</v>
      </c>
      <c r="D64" s="21" t="n">
        <v>0.0293</v>
      </c>
      <c r="E64" s="21" t="n">
        <v>-0.0684</v>
      </c>
      <c r="F64" s="21" t="n">
        <v>0.0081</v>
      </c>
      <c r="G64" s="21" t="n"/>
      <c r="H64" s="21" t="n">
        <v>2.2036</v>
      </c>
      <c r="I64" s="21" t="n">
        <v>-3.352</v>
      </c>
      <c r="J64" s="37" t="n">
        <v>9.923299999999999</v>
      </c>
    </row>
    <row r="65" ht="12.75" customHeight="1">
      <c r="A65" s="36" t="inlineStr">
        <is>
          <t>35-39</t>
        </is>
      </c>
      <c r="B65" s="20" t="n">
        <v>10</v>
      </c>
      <c r="C65" s="21" t="n">
        <v>0.6895</v>
      </c>
      <c r="D65" s="21" t="n">
        <v>0.0068</v>
      </c>
      <c r="E65" s="21" t="n">
        <v>0.0032</v>
      </c>
      <c r="F65" s="21" t="n">
        <v>0.0119</v>
      </c>
      <c r="G65" s="21" t="n"/>
      <c r="H65" s="21" t="n">
        <v>2.9955</v>
      </c>
      <c r="I65" s="21" t="n">
        <v>-11.4013</v>
      </c>
      <c r="J65" s="37" t="n">
        <v>16.3441</v>
      </c>
    </row>
    <row r="66" ht="12.75" customHeight="1">
      <c r="A66" s="36" t="inlineStr">
        <is>
          <t>40-44</t>
        </is>
      </c>
      <c r="B66" s="20" t="n">
        <v>15</v>
      </c>
      <c r="C66" s="21" t="n">
        <v>0.6098</v>
      </c>
      <c r="D66" s="21" t="n">
        <v>-0.0014</v>
      </c>
      <c r="E66" s="21" t="n">
        <v>0.0166</v>
      </c>
      <c r="F66" s="21" t="n">
        <v>0.0141</v>
      </c>
      <c r="G66" s="21" t="n"/>
      <c r="H66" s="21" t="n">
        <v>4.7734</v>
      </c>
      <c r="I66" s="21" t="n">
        <v>-17.885</v>
      </c>
      <c r="J66" s="37" t="n">
        <v>20.8883</v>
      </c>
    </row>
    <row r="67" ht="12.75" customHeight="1">
      <c r="A67" s="36" t="inlineStr">
        <is>
          <t>45-49</t>
        </is>
      </c>
      <c r="B67" s="20" t="n">
        <v>20</v>
      </c>
      <c r="C67" s="21" t="n">
        <v>0.5615</v>
      </c>
      <c r="D67" s="21" t="n">
        <v>0.004</v>
      </c>
      <c r="E67" s="21" t="n">
        <v>0.0073</v>
      </c>
      <c r="F67" s="21" t="n">
        <v>0.0159</v>
      </c>
      <c r="G67" s="21" t="n"/>
      <c r="H67" s="21" t="n">
        <v>7.4495</v>
      </c>
      <c r="I67" s="21" t="n">
        <v>-19.0513</v>
      </c>
      <c r="J67" s="37" t="n">
        <v>23.0529</v>
      </c>
    </row>
    <row r="68" ht="12.75" customHeight="1">
      <c r="A68" s="36" t="n"/>
      <c r="J68" s="42" t="n"/>
    </row>
    <row r="69" ht="12.75" customHeight="1">
      <c r="A69" s="36" t="n"/>
      <c r="J69" s="42" t="n"/>
    </row>
    <row r="70" ht="12.75" customHeight="1">
      <c r="A70" s="168" t="inlineStr">
        <is>
          <t>UN - South Asian</t>
        </is>
      </c>
      <c r="J70" s="198" t="n"/>
    </row>
    <row r="71" ht="12.75" customHeight="1">
      <c r="A71" s="51" t="inlineStr">
        <is>
          <t>Age</t>
        </is>
      </c>
      <c r="B71" s="52" t="inlineStr">
        <is>
          <t>x</t>
        </is>
      </c>
      <c r="C71" s="26" t="inlineStr">
        <is>
          <t>a(x,j)</t>
        </is>
      </c>
      <c r="D71" s="26" t="inlineStr">
        <is>
          <t>b(x,j)</t>
        </is>
      </c>
      <c r="E71" s="26" t="inlineStr">
        <is>
          <t>c(x,j)</t>
        </is>
      </c>
      <c r="F71" s="26" t="inlineStr">
        <is>
          <t>d(x,j)</t>
        </is>
      </c>
      <c r="G71" s="26" t="n"/>
      <c r="H71" s="26" t="inlineStr">
        <is>
          <t>e(x,j)</t>
        </is>
      </c>
      <c r="I71" s="26" t="inlineStr">
        <is>
          <t>f(x,j)</t>
        </is>
      </c>
      <c r="J71" s="53" t="inlineStr">
        <is>
          <t>g(x,j)</t>
        </is>
      </c>
    </row>
    <row r="72" ht="12.75" customHeight="1">
      <c r="A72" s="36" t="inlineStr">
        <is>
          <t>15-19</t>
        </is>
      </c>
      <c r="B72" s="20" t="n">
        <v>1</v>
      </c>
      <c r="C72" s="21" t="n">
        <v>0.6749000000000001</v>
      </c>
      <c r="D72" s="21" t="n">
        <v>-1.758</v>
      </c>
      <c r="E72" s="21" t="n">
        <v>0.6805</v>
      </c>
      <c r="F72" s="21" t="n">
        <v>0.0109</v>
      </c>
      <c r="G72" s="21" t="n"/>
      <c r="H72" s="21" t="n">
        <v>1.1922</v>
      </c>
      <c r="I72" s="21" t="n">
        <v>0.794</v>
      </c>
      <c r="J72" s="37" t="n">
        <v>-0.5425</v>
      </c>
    </row>
    <row r="73" ht="12.75" customHeight="1">
      <c r="A73" s="36" t="inlineStr">
        <is>
          <t>20-24</t>
        </is>
      </c>
      <c r="B73" s="20" t="n">
        <v>2</v>
      </c>
      <c r="C73" s="21" t="n">
        <v>1.3716</v>
      </c>
      <c r="D73" s="21" t="n">
        <v>-0.3652</v>
      </c>
      <c r="E73" s="21" t="n">
        <v>-0.2966</v>
      </c>
      <c r="F73" s="21" t="n">
        <v>-0.0041</v>
      </c>
      <c r="G73" s="21" t="n"/>
      <c r="H73" s="21" t="n">
        <v>1.7173</v>
      </c>
      <c r="I73" s="21" t="n">
        <v>4.3117</v>
      </c>
      <c r="J73" s="37" t="n">
        <v>-0.1653</v>
      </c>
    </row>
    <row r="74" ht="12.75" customHeight="1">
      <c r="A74" s="36" t="inlineStr">
        <is>
          <t>25-29</t>
        </is>
      </c>
      <c r="B74" s="20" t="n">
        <v>3</v>
      </c>
      <c r="C74" s="21" t="n">
        <v>1.0899</v>
      </c>
      <c r="D74" s="21" t="n">
        <v>0.0299</v>
      </c>
      <c r="E74" s="21" t="n">
        <v>-0.2887</v>
      </c>
      <c r="F74" s="21" t="n">
        <v>0.0024</v>
      </c>
      <c r="G74" s="21" t="n"/>
      <c r="H74" s="21" t="n">
        <v>1.8631</v>
      </c>
      <c r="I74" s="21" t="n">
        <v>2.8767</v>
      </c>
      <c r="J74" s="37" t="n">
        <v>3.5848</v>
      </c>
    </row>
    <row r="75" ht="12.75" customHeight="1">
      <c r="A75" s="36" t="inlineStr">
        <is>
          <t>30-34</t>
        </is>
      </c>
      <c r="B75" s="20" t="n">
        <v>5</v>
      </c>
      <c r="C75" s="21" t="n">
        <v>0.7694</v>
      </c>
      <c r="D75" s="21" t="n">
        <v>0.0548</v>
      </c>
      <c r="E75" s="21" t="n">
        <v>-0.0934</v>
      </c>
      <c r="F75" s="21" t="n">
        <v>0.0108</v>
      </c>
      <c r="G75" s="21" t="n"/>
      <c r="H75" s="21" t="n">
        <v>2.1808</v>
      </c>
      <c r="I75" s="21" t="n">
        <v>-2.7219</v>
      </c>
      <c r="J75" s="37" t="n">
        <v>9.3705</v>
      </c>
    </row>
    <row r="76" ht="12.75" customHeight="1">
      <c r="A76" s="36" t="inlineStr">
        <is>
          <t>35-39</t>
        </is>
      </c>
      <c r="B76" s="20" t="n">
        <v>10</v>
      </c>
      <c r="C76" s="21" t="n">
        <v>0.6156</v>
      </c>
      <c r="D76" s="21" t="n">
        <v>0.0231</v>
      </c>
      <c r="E76" s="21" t="n">
        <v>0.0298</v>
      </c>
      <c r="F76" s="21" t="n">
        <v>0.0149</v>
      </c>
      <c r="G76" s="21" t="n"/>
      <c r="H76" s="21" t="n">
        <v>2.7654</v>
      </c>
      <c r="I76" s="21" t="n">
        <v>-10.8808</v>
      </c>
      <c r="J76" s="37" t="n">
        <v>16.2255</v>
      </c>
    </row>
    <row r="77" ht="12.75" customHeight="1">
      <c r="A77" s="36" t="inlineStr">
        <is>
          <t>40-44</t>
        </is>
      </c>
      <c r="B77" s="20" t="n">
        <v>15</v>
      </c>
      <c r="C77" s="21" t="n">
        <v>0.6077</v>
      </c>
      <c r="D77" s="21" t="n">
        <v>0.004</v>
      </c>
      <c r="E77" s="21" t="n">
        <v>0.0573</v>
      </c>
      <c r="F77" s="21" t="n">
        <v>0.0141</v>
      </c>
      <c r="G77" s="21" t="n"/>
      <c r="H77" s="21" t="n">
        <v>4.1378</v>
      </c>
      <c r="I77" s="21" t="n">
        <v>-18.6219</v>
      </c>
      <c r="J77" s="37" t="n">
        <v>22.239</v>
      </c>
    </row>
    <row r="78" ht="12.75" customHeight="1">
      <c r="A78" s="36" t="inlineStr">
        <is>
          <t>45-49</t>
        </is>
      </c>
      <c r="B78" s="20" t="n">
        <v>20</v>
      </c>
      <c r="C78" s="21" t="n">
        <v>0.6952</v>
      </c>
      <c r="D78" s="21" t="n">
        <v>0.0018</v>
      </c>
      <c r="E78" s="21" t="n">
        <v>0.0306</v>
      </c>
      <c r="F78" s="21" t="n">
        <v>0.0109</v>
      </c>
      <c r="G78" s="21" t="n"/>
      <c r="H78" s="21" t="n">
        <v>6.4885</v>
      </c>
      <c r="I78" s="21" t="n">
        <v>-22.2001</v>
      </c>
      <c r="J78" s="37" t="n">
        <v>26.4911</v>
      </c>
    </row>
    <row r="79" ht="12.75" customHeight="1">
      <c r="A79" s="36" t="n"/>
      <c r="J79" s="42" t="n"/>
    </row>
    <row r="80" ht="12.75" customHeight="1">
      <c r="A80" s="36" t="n"/>
      <c r="J80" s="42" t="n"/>
    </row>
    <row r="81" ht="12.75" customHeight="1">
      <c r="A81" s="168" t="inlineStr">
        <is>
          <t>UN - Far Eastern</t>
        </is>
      </c>
      <c r="J81" s="198" t="n"/>
    </row>
    <row r="82" ht="12.75" customHeight="1">
      <c r="A82" s="51" t="inlineStr">
        <is>
          <t>Age</t>
        </is>
      </c>
      <c r="B82" s="52" t="inlineStr">
        <is>
          <t>x</t>
        </is>
      </c>
      <c r="C82" s="26" t="inlineStr">
        <is>
          <t>a(x,j)</t>
        </is>
      </c>
      <c r="D82" s="26" t="inlineStr">
        <is>
          <t>b(x,j)</t>
        </is>
      </c>
      <c r="E82" s="26" t="inlineStr">
        <is>
          <t>c(x,j)</t>
        </is>
      </c>
      <c r="F82" s="26" t="inlineStr">
        <is>
          <t>d(x,j)</t>
        </is>
      </c>
      <c r="G82" s="26" t="n"/>
      <c r="H82" s="26" t="inlineStr">
        <is>
          <t>e(x,j)</t>
        </is>
      </c>
      <c r="I82" s="26" t="inlineStr">
        <is>
          <t>f(x,j)</t>
        </is>
      </c>
      <c r="J82" s="53" t="inlineStr">
        <is>
          <t>g(x,j)</t>
        </is>
      </c>
    </row>
    <row r="83" ht="12.75" customHeight="1">
      <c r="A83" s="36" t="inlineStr">
        <is>
          <t>15-19</t>
        </is>
      </c>
      <c r="B83" s="20" t="n">
        <v>1</v>
      </c>
      <c r="C83" s="20" t="n">
        <v>0.7194</v>
      </c>
      <c r="D83" s="20" t="n">
        <v>-1.3143</v>
      </c>
      <c r="E83" s="20" t="n">
        <v>0.5432</v>
      </c>
      <c r="F83" s="20" t="n">
        <v>0.009299999999999999</v>
      </c>
      <c r="H83" s="20" t="n">
        <v>1.2779</v>
      </c>
      <c r="I83" s="20" t="n">
        <v>1.5714</v>
      </c>
      <c r="J83" s="42" t="n">
        <v>-0.6994</v>
      </c>
    </row>
    <row r="84" ht="12.75" customHeight="1">
      <c r="A84" s="36" t="inlineStr">
        <is>
          <t>20-24</t>
        </is>
      </c>
      <c r="B84" s="20" t="n">
        <v>2</v>
      </c>
      <c r="C84" s="20" t="n">
        <v>1.2671</v>
      </c>
      <c r="D84" s="20" t="n">
        <v>-0.2996</v>
      </c>
      <c r="E84" s="20" t="n">
        <v>-0.2105</v>
      </c>
      <c r="F84" s="20" t="n">
        <v>-0.0029</v>
      </c>
      <c r="H84" s="20" t="n">
        <v>1.7471</v>
      </c>
      <c r="I84" s="20" t="n">
        <v>4.2638</v>
      </c>
      <c r="J84" s="42" t="n">
        <v>-0.0752</v>
      </c>
    </row>
    <row r="85" ht="12.75" customHeight="1">
      <c r="A85" s="36" t="inlineStr">
        <is>
          <t>25-29</t>
        </is>
      </c>
      <c r="B85" s="20" t="n">
        <v>3</v>
      </c>
      <c r="C85" s="20" t="n">
        <v>1.0668</v>
      </c>
      <c r="D85" s="20" t="n">
        <v>0.0017</v>
      </c>
      <c r="E85" s="20" t="n">
        <v>-0.2424</v>
      </c>
      <c r="F85" s="20" t="n">
        <v>0.0019</v>
      </c>
      <c r="H85" s="20" t="n">
        <v>1.9107</v>
      </c>
      <c r="I85" s="20" t="n">
        <v>2.7285</v>
      </c>
      <c r="J85" s="42" t="n">
        <v>3.5881</v>
      </c>
    </row>
    <row r="86" ht="12.75" customHeight="1">
      <c r="A86" s="36" t="inlineStr">
        <is>
          <t>30-34</t>
        </is>
      </c>
      <c r="B86" s="20" t="n">
        <v>5</v>
      </c>
      <c r="C86" s="20" t="n">
        <v>0.7833</v>
      </c>
      <c r="D86" s="20" t="n">
        <v>0.0307</v>
      </c>
      <c r="E86" s="20" t="n">
        <v>-0.1103</v>
      </c>
      <c r="F86" s="20" t="n">
        <v>0.0098</v>
      </c>
      <c r="H86" s="20" t="n">
        <v>2.3172</v>
      </c>
      <c r="I86" s="20" t="n">
        <v>-2.6259</v>
      </c>
      <c r="J86" s="42" t="n">
        <v>9.0238</v>
      </c>
    </row>
    <row r="87" ht="12.75" customHeight="1">
      <c r="A87" s="36" t="inlineStr">
        <is>
          <t>35-39</t>
        </is>
      </c>
      <c r="B87" s="20" t="n">
        <v>10</v>
      </c>
      <c r="C87" s="20" t="n">
        <v>0.5765</v>
      </c>
      <c r="D87" s="20" t="n">
        <v>0.0068</v>
      </c>
      <c r="E87" s="20" t="n">
        <v>-0.0202</v>
      </c>
      <c r="F87" s="20" t="n">
        <v>0.0165</v>
      </c>
      <c r="H87" s="20" t="n">
        <v>3.2087</v>
      </c>
      <c r="I87" s="20" t="n">
        <v>-9.889099999999999</v>
      </c>
      <c r="J87" s="42" t="n">
        <v>14.7339</v>
      </c>
    </row>
    <row r="88" ht="12.75" customHeight="1">
      <c r="A88" s="36" t="inlineStr">
        <is>
          <t>40-44</t>
        </is>
      </c>
      <c r="B88" s="20" t="n">
        <v>15</v>
      </c>
      <c r="C88" s="20" t="n">
        <v>0.4115</v>
      </c>
      <c r="D88" s="20" t="n">
        <v>0.0014</v>
      </c>
      <c r="E88" s="20" t="n">
        <v>0.0083</v>
      </c>
      <c r="F88" s="20" t="n">
        <v>0.0213</v>
      </c>
      <c r="H88" s="20" t="n">
        <v>5.1141</v>
      </c>
      <c r="I88" s="20" t="n">
        <v>-15.3263</v>
      </c>
      <c r="J88" s="42" t="n">
        <v>18.2507</v>
      </c>
    </row>
    <row r="89" ht="12.75" customHeight="1">
      <c r="A89" s="36" t="inlineStr">
        <is>
          <t>45-49</t>
        </is>
      </c>
      <c r="B89" s="20" t="n">
        <v>20</v>
      </c>
      <c r="C89" s="20" t="n">
        <v>0.3071</v>
      </c>
      <c r="D89" s="20" t="n">
        <v>0.0111</v>
      </c>
      <c r="E89" s="20" t="n">
        <v>0.0129</v>
      </c>
      <c r="F89" s="20" t="n">
        <v>0.0251</v>
      </c>
      <c r="H89" s="20" t="n">
        <v>7.6383</v>
      </c>
      <c r="I89" s="20" t="n">
        <v>-15.5739</v>
      </c>
      <c r="J89" s="42" t="n">
        <v>19.7669</v>
      </c>
    </row>
    <row r="90" ht="12.75" customHeight="1">
      <c r="A90" s="36" t="n"/>
      <c r="J90" s="42" t="n"/>
    </row>
    <row r="91" ht="12.75" customHeight="1">
      <c r="A91" s="36" t="n"/>
      <c r="J91" s="42" t="n"/>
    </row>
    <row r="92" ht="12.75" customHeight="1">
      <c r="A92" s="168" t="inlineStr">
        <is>
          <t>UN - General</t>
        </is>
      </c>
      <c r="J92" s="198" t="n"/>
    </row>
    <row r="93" ht="12.75" customHeight="1">
      <c r="A93" s="51" t="inlineStr">
        <is>
          <t>Age</t>
        </is>
      </c>
      <c r="B93" s="52" t="inlineStr">
        <is>
          <t>x</t>
        </is>
      </c>
      <c r="C93" s="26" t="inlineStr">
        <is>
          <t>a(x,j)</t>
        </is>
      </c>
      <c r="D93" s="26" t="inlineStr">
        <is>
          <t>b(x,j)</t>
        </is>
      </c>
      <c r="E93" s="26" t="inlineStr">
        <is>
          <t>c(x,j)</t>
        </is>
      </c>
      <c r="F93" s="26" t="inlineStr">
        <is>
          <t>d(x,j)</t>
        </is>
      </c>
      <c r="G93" s="26" t="n"/>
      <c r="H93" s="26" t="inlineStr">
        <is>
          <t>e(x,j)</t>
        </is>
      </c>
      <c r="I93" s="26" t="inlineStr">
        <is>
          <t>f(x,j)</t>
        </is>
      </c>
      <c r="J93" s="53" t="inlineStr">
        <is>
          <t>g(x,j)</t>
        </is>
      </c>
    </row>
    <row r="94" ht="12.75" customHeight="1">
      <c r="A94" s="36" t="inlineStr">
        <is>
          <t>15-19</t>
        </is>
      </c>
      <c r="B94" s="20" t="n">
        <v>1</v>
      </c>
      <c r="C94" s="21" t="n">
        <v>0.721</v>
      </c>
      <c r="D94" s="21" t="n">
        <v>-1.4686</v>
      </c>
      <c r="E94" s="21" t="n">
        <v>0.5746</v>
      </c>
      <c r="F94" s="21" t="n">
        <v>0.0095</v>
      </c>
      <c r="G94" s="21" t="n"/>
      <c r="H94" s="21" t="n">
        <v>1.2136</v>
      </c>
      <c r="I94" s="21" t="n">
        <v>0.974</v>
      </c>
      <c r="J94" s="37" t="n">
        <v>-0.5247000000000001</v>
      </c>
    </row>
    <row r="95" ht="12.75" customHeight="1">
      <c r="A95" s="36" t="inlineStr">
        <is>
          <t>20-24</t>
        </is>
      </c>
      <c r="B95" s="20" t="n">
        <v>2</v>
      </c>
      <c r="C95" s="21" t="n">
        <v>1.3115</v>
      </c>
      <c r="D95" s="21" t="n">
        <v>-0.336</v>
      </c>
      <c r="E95" s="21" t="n">
        <v>-0.2475</v>
      </c>
      <c r="F95" s="21" t="n">
        <v>-0.0034</v>
      </c>
      <c r="G95" s="21" t="n"/>
      <c r="H95" s="21" t="n">
        <v>1.7025</v>
      </c>
      <c r="I95" s="21" t="n">
        <v>4.1569</v>
      </c>
      <c r="J95" s="37" t="n">
        <v>-0.1232</v>
      </c>
    </row>
    <row r="96" ht="12.75" customHeight="1">
      <c r="A96" s="36" t="inlineStr">
        <is>
          <t>25-29</t>
        </is>
      </c>
      <c r="B96" s="20" t="n">
        <v>3</v>
      </c>
      <c r="C96" s="21" t="n">
        <v>1.0768</v>
      </c>
      <c r="D96" s="21" t="n">
        <v>0.0109</v>
      </c>
      <c r="E96" s="21" t="n">
        <v>-0.2695</v>
      </c>
      <c r="F96" s="21" t="n">
        <v>0.0021</v>
      </c>
      <c r="G96" s="21" t="n"/>
      <c r="H96" s="21" t="n">
        <v>1.836</v>
      </c>
      <c r="I96" s="21" t="n">
        <v>2.8632</v>
      </c>
      <c r="J96" s="37" t="n">
        <v>3.522</v>
      </c>
    </row>
    <row r="97" ht="12.75" customHeight="1">
      <c r="A97" s="36" t="inlineStr">
        <is>
          <t>30-34</t>
        </is>
      </c>
      <c r="B97" s="20" t="n">
        <v>5</v>
      </c>
      <c r="C97" s="21" t="n">
        <v>0.7682</v>
      </c>
      <c r="D97" s="21" t="n">
        <v>0.0439</v>
      </c>
      <c r="E97" s="21" t="n">
        <v>-0.109</v>
      </c>
      <c r="F97" s="21" t="n">
        <v>0.0105</v>
      </c>
      <c r="G97" s="21" t="n"/>
      <c r="H97" s="21" t="n">
        <v>2.1882</v>
      </c>
      <c r="I97" s="21" t="n">
        <v>-2.6521</v>
      </c>
      <c r="J97" s="37" t="n">
        <v>9.196099999999999</v>
      </c>
    </row>
    <row r="98" ht="12.75" customHeight="1">
      <c r="A98" s="36" t="inlineStr">
        <is>
          <t>35-39</t>
        </is>
      </c>
      <c r="B98" s="20" t="n">
        <v>10</v>
      </c>
      <c r="C98" s="21" t="n">
        <v>0.5769</v>
      </c>
      <c r="D98" s="21" t="n">
        <v>0.0176</v>
      </c>
      <c r="E98" s="21" t="n">
        <v>0.0038</v>
      </c>
      <c r="F98" s="21" t="n">
        <v>0.0165</v>
      </c>
      <c r="G98" s="21" t="n"/>
      <c r="H98" s="21" t="n">
        <v>2.9682</v>
      </c>
      <c r="I98" s="21" t="n">
        <v>-10.3053</v>
      </c>
      <c r="J98" s="37" t="n">
        <v>15.3161</v>
      </c>
    </row>
    <row r="99" ht="12.75" customHeight="1">
      <c r="A99" s="36" t="inlineStr">
        <is>
          <t>40-44</t>
        </is>
      </c>
      <c r="B99" s="20" t="n">
        <v>15</v>
      </c>
      <c r="C99" s="21" t="n">
        <v>0.4845</v>
      </c>
      <c r="D99" s="21" t="n">
        <v>0.0034</v>
      </c>
      <c r="E99" s="21" t="n">
        <v>0.0036</v>
      </c>
      <c r="F99" s="21" t="n">
        <v>0.0187</v>
      </c>
      <c r="G99" s="21" t="n"/>
      <c r="H99" s="21" t="n">
        <v>4.6526</v>
      </c>
      <c r="I99" s="21" t="n">
        <v>-16.692</v>
      </c>
      <c r="J99" s="37" t="n">
        <v>19.8534</v>
      </c>
    </row>
    <row r="100" ht="12.75" customHeight="1">
      <c r="A100" s="36" t="inlineStr">
        <is>
          <t>45-49</t>
        </is>
      </c>
      <c r="B100" s="20" t="n">
        <v>20</v>
      </c>
      <c r="C100" s="21" t="n">
        <v>0.476</v>
      </c>
      <c r="D100" s="21" t="n">
        <v>0.0071</v>
      </c>
      <c r="E100" s="21" t="n">
        <v>0.0246</v>
      </c>
      <c r="F100" s="21" t="n">
        <v>0.0189</v>
      </c>
      <c r="G100" s="21" t="n"/>
      <c r="H100" s="21" t="n">
        <v>7.1425</v>
      </c>
      <c r="I100" s="21" t="n">
        <v>-18.3021</v>
      </c>
      <c r="J100" s="37" t="n">
        <v>22.4168</v>
      </c>
    </row>
    <row r="101" ht="12.75" customHeight="1">
      <c r="A101" s="44" t="n"/>
      <c r="B101" s="45" t="n"/>
      <c r="C101" s="45" t="n"/>
      <c r="D101" s="45" t="n"/>
      <c r="E101" s="45" t="n"/>
      <c r="F101" s="45" t="n"/>
      <c r="G101" s="45" t="n"/>
      <c r="H101" s="45" t="n"/>
      <c r="I101" s="45" t="n"/>
      <c r="J101" s="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9">
    <mergeCell ref="N26:U26"/>
    <mergeCell ref="Y4:AF4"/>
    <mergeCell ref="N4:U4"/>
    <mergeCell ref="A4:J4"/>
    <mergeCell ref="A81:J81"/>
    <mergeCell ref="Y15:AF15"/>
    <mergeCell ref="N37:U37"/>
    <mergeCell ref="A92:J92"/>
    <mergeCell ref="A15:J15"/>
    <mergeCell ref="A59:J59"/>
    <mergeCell ref="A48:J48"/>
    <mergeCell ref="H3:J3"/>
    <mergeCell ref="Y26:AF26"/>
    <mergeCell ref="A1:J1"/>
    <mergeCell ref="A70:J70"/>
    <mergeCell ref="C3:E3"/>
    <mergeCell ref="AD3:AF3"/>
    <mergeCell ref="Y3:AA3"/>
    <mergeCell ref="Y37:AF37"/>
    <mergeCell ref="W1:AF1"/>
    <mergeCell ref="A37:J37"/>
    <mergeCell ref="AM5:AV5"/>
    <mergeCell ref="AH5:AJ5"/>
    <mergeCell ref="AM15:AN15"/>
    <mergeCell ref="N15:U15"/>
    <mergeCell ref="S3:U3"/>
    <mergeCell ref="A26:J26"/>
    <mergeCell ref="L1:U1"/>
    <mergeCell ref="N3:P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2" sqref="A12"/>
    </sheetView>
  </sheetViews>
  <sheetFormatPr baseColWidth="10" defaultColWidth="9.109375" defaultRowHeight="13.2"/>
  <cols>
    <col width="10.109375" customWidth="1" style="20" min="1" max="1"/>
    <col width="10" customWidth="1" style="20" min="2" max="30"/>
    <col width="9.109375" customWidth="1" style="20" min="31" max="16384"/>
  </cols>
  <sheetData>
    <row r="1">
      <c r="A1" s="20" t="inlineStr">
        <is>
          <t>Model LTs</t>
        </is>
      </c>
      <c r="B1" s="20" t="inlineStr">
        <is>
          <t>logits with e0 = 60</t>
        </is>
      </c>
    </row>
    <row r="2" hidden="1">
      <c r="B2" s="20" t="n">
        <v>111</v>
      </c>
      <c r="C2" s="20" t="n">
        <v>112</v>
      </c>
      <c r="D2" s="20" t="n">
        <v>113</v>
      </c>
      <c r="E2" s="20" t="n">
        <v>121</v>
      </c>
      <c r="F2" s="20" t="n">
        <v>122</v>
      </c>
      <c r="G2" s="20" t="n">
        <v>123</v>
      </c>
      <c r="H2" s="20" t="n">
        <v>131</v>
      </c>
      <c r="I2" s="20" t="n">
        <v>132</v>
      </c>
      <c r="J2" s="20" t="n">
        <v>133</v>
      </c>
      <c r="K2" s="20" t="n">
        <v>141</v>
      </c>
      <c r="L2" s="20" t="n">
        <v>142</v>
      </c>
      <c r="M2" s="20" t="n">
        <v>143</v>
      </c>
      <c r="N2" s="20" t="n">
        <v>211</v>
      </c>
      <c r="O2" s="20" t="n">
        <v>212</v>
      </c>
      <c r="P2" s="20" t="n">
        <v>213</v>
      </c>
      <c r="Q2" s="20" t="n">
        <v>221</v>
      </c>
      <c r="R2" s="20" t="n">
        <v>222</v>
      </c>
      <c r="S2" s="20" t="n">
        <v>223</v>
      </c>
      <c r="T2" s="20" t="n">
        <v>231</v>
      </c>
      <c r="U2" s="20" t="n">
        <v>232</v>
      </c>
      <c r="V2" s="20" t="n">
        <v>233</v>
      </c>
      <c r="W2" s="20" t="n">
        <v>241</v>
      </c>
      <c r="X2" s="20" t="n">
        <v>242</v>
      </c>
      <c r="Y2" s="20" t="n">
        <v>243</v>
      </c>
      <c r="Z2" s="20" t="n">
        <v>251</v>
      </c>
      <c r="AA2" s="20" t="n">
        <v>252</v>
      </c>
      <c r="AB2" s="20" t="n">
        <v>253</v>
      </c>
    </row>
    <row r="3" ht="13.8" customFormat="1" customHeight="1" s="24">
      <c r="B3" s="167" t="inlineStr">
        <is>
          <t>Princeton North</t>
        </is>
      </c>
      <c r="E3" s="167" t="inlineStr">
        <is>
          <t>Princeton South</t>
        </is>
      </c>
      <c r="H3" s="167" t="inlineStr">
        <is>
          <t>Princeton East</t>
        </is>
      </c>
      <c r="K3" s="167" t="inlineStr">
        <is>
          <t>Princeton West</t>
        </is>
      </c>
      <c r="N3" s="167" t="inlineStr">
        <is>
          <t>UN Latin American</t>
        </is>
      </c>
      <c r="Q3" s="167" t="inlineStr">
        <is>
          <t>UN Chilean</t>
        </is>
      </c>
      <c r="T3" s="167" t="inlineStr">
        <is>
          <t>UN South Asian</t>
        </is>
      </c>
      <c r="W3" s="167" t="inlineStr">
        <is>
          <t>UN Far Eastern</t>
        </is>
      </c>
      <c r="Z3" s="167" t="inlineStr">
        <is>
          <t>UN General</t>
        </is>
      </c>
    </row>
    <row r="4" ht="13.8" customFormat="1" customHeight="1" s="24">
      <c r="A4" s="52" t="inlineStr">
        <is>
          <t>x</t>
        </is>
      </c>
      <c r="B4" s="74" t="inlineStr">
        <is>
          <t>Males</t>
        </is>
      </c>
      <c r="C4" s="75" t="inlineStr">
        <is>
          <t>Females</t>
        </is>
      </c>
      <c r="D4" s="76" t="inlineStr">
        <is>
          <t>Combined</t>
        </is>
      </c>
      <c r="E4" s="74" t="inlineStr">
        <is>
          <t>Males</t>
        </is>
      </c>
      <c r="F4" s="75" t="inlineStr">
        <is>
          <t>Females</t>
        </is>
      </c>
      <c r="G4" s="76" t="inlineStr">
        <is>
          <t>Combined</t>
        </is>
      </c>
      <c r="H4" s="74" t="inlineStr">
        <is>
          <t>Males</t>
        </is>
      </c>
      <c r="I4" s="75" t="inlineStr">
        <is>
          <t>Females</t>
        </is>
      </c>
      <c r="J4" s="76" t="inlineStr">
        <is>
          <t>Combined</t>
        </is>
      </c>
      <c r="K4" s="74" t="inlineStr">
        <is>
          <t>Males</t>
        </is>
      </c>
      <c r="L4" s="75" t="inlineStr">
        <is>
          <t>Females</t>
        </is>
      </c>
      <c r="M4" s="76" t="inlineStr">
        <is>
          <t>Combined</t>
        </is>
      </c>
      <c r="N4" s="74" t="inlineStr">
        <is>
          <t>Males</t>
        </is>
      </c>
      <c r="O4" s="75" t="inlineStr">
        <is>
          <t>Females</t>
        </is>
      </c>
      <c r="P4" s="76" t="inlineStr">
        <is>
          <t>Combined</t>
        </is>
      </c>
      <c r="Q4" s="74" t="inlineStr">
        <is>
          <t>Males</t>
        </is>
      </c>
      <c r="R4" s="75" t="inlineStr">
        <is>
          <t>Females</t>
        </is>
      </c>
      <c r="S4" s="76" t="inlineStr">
        <is>
          <t>Combined</t>
        </is>
      </c>
      <c r="T4" s="74" t="inlineStr">
        <is>
          <t>Males</t>
        </is>
      </c>
      <c r="U4" s="75" t="inlineStr">
        <is>
          <t>Females</t>
        </is>
      </c>
      <c r="V4" s="76" t="inlineStr">
        <is>
          <t>Combined</t>
        </is>
      </c>
      <c r="W4" s="74" t="inlineStr">
        <is>
          <t>Males</t>
        </is>
      </c>
      <c r="X4" s="75" t="inlineStr">
        <is>
          <t>Females</t>
        </is>
      </c>
      <c r="Y4" s="76" t="inlineStr">
        <is>
          <t>Combined</t>
        </is>
      </c>
      <c r="Z4" s="74" t="inlineStr">
        <is>
          <t>Males</t>
        </is>
      </c>
      <c r="AA4" s="75" t="inlineStr">
        <is>
          <t>Females</t>
        </is>
      </c>
      <c r="AB4" s="76" t="inlineStr">
        <is>
          <t>Combined</t>
        </is>
      </c>
    </row>
    <row r="5">
      <c r="A5" s="20" t="n">
        <v>0</v>
      </c>
      <c r="B5" s="62" t="n"/>
      <c r="C5" s="22" t="n"/>
      <c r="D5" s="63" t="n"/>
      <c r="E5" s="62" t="n"/>
      <c r="F5" s="22" t="n"/>
      <c r="G5" s="63" t="n"/>
      <c r="H5" s="62" t="n"/>
      <c r="I5" s="22" t="n"/>
      <c r="J5" s="63" t="n"/>
      <c r="K5" s="62" t="n"/>
      <c r="L5" s="22" t="n"/>
      <c r="M5" s="63" t="n"/>
      <c r="N5" s="62" t="n"/>
      <c r="O5" s="22" t="n"/>
      <c r="P5" s="63" t="n"/>
      <c r="Q5" s="62" t="n"/>
      <c r="R5" s="22" t="n"/>
      <c r="S5" s="63" t="n"/>
      <c r="T5" s="62" t="n"/>
      <c r="U5" s="22" t="n"/>
      <c r="V5" s="63" t="n"/>
      <c r="W5" s="62" t="n"/>
      <c r="X5" s="22" t="n"/>
      <c r="Y5" s="63" t="n"/>
      <c r="Z5" s="62" t="n"/>
      <c r="AA5" s="22" t="n"/>
      <c r="AB5" s="63" t="n"/>
    </row>
    <row r="6">
      <c r="A6" s="20" t="n">
        <v>1</v>
      </c>
      <c r="B6" s="214" t="n">
        <v>-1.339191868273043</v>
      </c>
      <c r="C6" s="215" t="n">
        <v>-1.320537653907399</v>
      </c>
      <c r="D6" s="216" t="n">
        <v>-1.330016661927263</v>
      </c>
      <c r="E6" s="214" t="n">
        <v>-1.149542994259372</v>
      </c>
      <c r="F6" s="215" t="n">
        <v>-1.128756459416549</v>
      </c>
      <c r="G6" s="216" t="n">
        <v>-1.139315310475923</v>
      </c>
      <c r="H6" s="214" t="n">
        <v>-1.199566719034468</v>
      </c>
      <c r="I6" s="215" t="n">
        <v>-1.159057693334963</v>
      </c>
      <c r="J6" s="216" t="n">
        <v>-1.179466938066658</v>
      </c>
      <c r="K6" s="214" t="n">
        <v>-1.30088828573094</v>
      </c>
      <c r="L6" s="215" t="n">
        <v>-1.28282828629155</v>
      </c>
      <c r="M6" s="216" t="n">
        <v>-1.292008462594878</v>
      </c>
      <c r="N6" s="214" t="n">
        <v>-1.224402483939103</v>
      </c>
      <c r="O6" s="215" t="n">
        <v>-1.23753030934175</v>
      </c>
      <c r="P6" s="216" t="n">
        <v>-1.230770016491638</v>
      </c>
      <c r="Q6" s="214" t="n">
        <v>-1.188181108464067</v>
      </c>
      <c r="R6" s="215" t="n">
        <v>-1.110626928804386</v>
      </c>
      <c r="S6" s="216" t="n">
        <v>-1.149121010825555</v>
      </c>
      <c r="T6" s="214" t="n">
        <v>-1.16333645618864</v>
      </c>
      <c r="U6" s="215" t="n">
        <v>-1.137873328342101</v>
      </c>
      <c r="V6" s="216" t="n">
        <v>-1.150782876522493</v>
      </c>
      <c r="W6" s="214" t="n">
        <v>-1.483392944488015</v>
      </c>
      <c r="X6" s="215" t="n">
        <v>-1.377225726816249</v>
      </c>
      <c r="Y6" s="216" t="n">
        <v>-1.429093374116542</v>
      </c>
      <c r="Z6" s="214" t="n">
        <v>-1.28087378797354</v>
      </c>
      <c r="AA6" s="215" t="n">
        <v>-1.270234322854658</v>
      </c>
      <c r="AB6" s="216" t="n">
        <v>-1.275659611444286</v>
      </c>
    </row>
    <row r="7">
      <c r="A7" s="20" t="n">
        <v>2</v>
      </c>
      <c r="B7" s="214" t="n">
        <v>-1.248271370000512</v>
      </c>
      <c r="C7" s="215" t="n">
        <v>-1.206090288986065</v>
      </c>
      <c r="D7" s="216" t="n">
        <v>-1.227320904444514</v>
      </c>
      <c r="E7" s="214" t="n">
        <v>-1.052921922913222</v>
      </c>
      <c r="F7" s="215" t="n">
        <v>-1.000999117297961</v>
      </c>
      <c r="G7" s="216" t="n">
        <v>-1.027073085450245</v>
      </c>
      <c r="H7" s="214" t="n">
        <v>-1.137725364453395</v>
      </c>
      <c r="I7" s="215" t="n">
        <v>-1.073353012661609</v>
      </c>
      <c r="J7" s="216" t="n">
        <v>-1.105493162098829</v>
      </c>
      <c r="K7" s="214" t="n">
        <v>-1.221553749828351</v>
      </c>
      <c r="L7" s="215" t="n">
        <v>-1.176951213084238</v>
      </c>
      <c r="M7" s="216" t="n">
        <v>-1.199382018993584</v>
      </c>
      <c r="N7" s="214" t="n">
        <v>-1.123047152981747</v>
      </c>
      <c r="O7" s="215" t="n">
        <v>-1.100576090029169</v>
      </c>
      <c r="P7" s="216" t="n">
        <v>-1.111984110632724</v>
      </c>
      <c r="Q7" s="214" t="n">
        <v>-1.142671285830426</v>
      </c>
      <c r="R7" s="215" t="n">
        <v>-1.045399962928015</v>
      </c>
      <c r="S7" s="216" t="n">
        <v>-1.093334805800209</v>
      </c>
      <c r="T7" s="214" t="n">
        <v>-1.046386850283516</v>
      </c>
      <c r="U7" s="215" t="n">
        <v>-1.00780542806961</v>
      </c>
      <c r="V7" s="216" t="n">
        <v>-1.027279162509057</v>
      </c>
      <c r="W7" s="214" t="n">
        <v>-1.416872913157044</v>
      </c>
      <c r="X7" s="215" t="n">
        <v>-1.29127538036598</v>
      </c>
      <c r="Y7" s="216" t="n">
        <v>-1.352159531180471</v>
      </c>
      <c r="Z7" s="214" t="n">
        <v>-1.199428555527182</v>
      </c>
      <c r="AA7" s="215" t="n">
        <v>-1.158798692791587</v>
      </c>
      <c r="AB7" s="216" t="n">
        <v>-1.179267828333138</v>
      </c>
    </row>
    <row r="8">
      <c r="A8" s="20" t="n">
        <v>3</v>
      </c>
      <c r="B8" s="214" t="n">
        <v>-1.191019866053105</v>
      </c>
      <c r="C8" s="215" t="n">
        <v>-1.141519940785942</v>
      </c>
      <c r="D8" s="216" t="n">
        <v>-1.166369511164876</v>
      </c>
      <c r="E8" s="214" t="n">
        <v>-1.011641800202346</v>
      </c>
      <c r="F8" s="215" t="n">
        <v>-0.9493238297097</v>
      </c>
      <c r="G8" s="216" t="n">
        <v>-0.9805116927315939</v>
      </c>
      <c r="H8" s="214" t="n">
        <v>-1.112218916902577</v>
      </c>
      <c r="I8" s="215" t="n">
        <v>-1.039688949985299</v>
      </c>
      <c r="J8" s="216" t="n">
        <v>-1.07579766511134</v>
      </c>
      <c r="K8" s="214" t="n">
        <v>-1.185967735528414</v>
      </c>
      <c r="L8" s="215" t="n">
        <v>-1.132385919727622</v>
      </c>
      <c r="M8" s="216" t="n">
        <v>-1.15924131351841</v>
      </c>
      <c r="N8" s="214" t="n">
        <v>-1.076391615528184</v>
      </c>
      <c r="O8" s="215" t="n">
        <v>-1.039815039403</v>
      </c>
      <c r="P8" s="216" t="n">
        <v>-1.058286925209262</v>
      </c>
      <c r="Q8" s="214" t="n">
        <v>-1.120466431985727</v>
      </c>
      <c r="R8" s="215" t="n">
        <v>-1.016103126620746</v>
      </c>
      <c r="S8" s="216" t="n">
        <v>-1.067411483831249</v>
      </c>
      <c r="T8" s="214" t="n">
        <v>-0.9961496362111488</v>
      </c>
      <c r="U8" s="215" t="n">
        <v>-0.9526701540449622</v>
      </c>
      <c r="V8" s="216" t="n">
        <v>-0.9745854680761824</v>
      </c>
      <c r="W8" s="214" t="n">
        <v>-1.382445880383036</v>
      </c>
      <c r="X8" s="215" t="n">
        <v>-1.251080252997729</v>
      </c>
      <c r="Y8" s="216" t="n">
        <v>-1.314634529583259</v>
      </c>
      <c r="Z8" s="214" t="n">
        <v>-1.16010373206892</v>
      </c>
      <c r="AA8" s="215" t="n">
        <v>-1.107544277612974</v>
      </c>
      <c r="AB8" s="216" t="n">
        <v>-1.133904115703359</v>
      </c>
    </row>
    <row r="9">
      <c r="A9" s="20" t="n">
        <v>4</v>
      </c>
      <c r="B9" s="214" t="n">
        <v>-1.149515557874287</v>
      </c>
      <c r="C9" s="215" t="n">
        <v>-1.095504734924758</v>
      </c>
      <c r="D9" s="216" t="n">
        <v>-1.122579389082977</v>
      </c>
      <c r="E9" s="214" t="n">
        <v>-0.9900409945639296</v>
      </c>
      <c r="F9" s="215" t="n">
        <v>-0.9233558390874682</v>
      </c>
      <c r="G9" s="216" t="n">
        <v>-0.9566861616391071</v>
      </c>
      <c r="H9" s="214" t="n">
        <v>-1.095915405129446</v>
      </c>
      <c r="I9" s="215" t="n">
        <v>-1.018234147035117</v>
      </c>
      <c r="J9" s="216" t="n">
        <v>-1.056839091368301</v>
      </c>
      <c r="K9" s="214" t="n">
        <v>-1.162235485562451</v>
      </c>
      <c r="L9" s="215" t="n">
        <v>-1.10538717317729</v>
      </c>
      <c r="M9" s="216" t="n">
        <v>-1.133848489507731</v>
      </c>
      <c r="N9" s="214" t="n">
        <v>-1.048313122448102</v>
      </c>
      <c r="O9" s="215" t="n">
        <v>-1.004633400861112</v>
      </c>
      <c r="P9" s="216" t="n">
        <v>-1.026637579331217</v>
      </c>
      <c r="Q9" s="214" t="n">
        <v>-1.106449449194358</v>
      </c>
      <c r="R9" s="215" t="n">
        <v>-0.9987500043996397</v>
      </c>
      <c r="S9" s="216" t="n">
        <v>-1.05164526585773</v>
      </c>
      <c r="T9" s="214" t="n">
        <v>-0.9677394009637116</v>
      </c>
      <c r="U9" s="215" t="n">
        <v>-0.9220865668115743</v>
      </c>
      <c r="V9" s="216" t="n">
        <v>-0.9450855773772461</v>
      </c>
      <c r="W9" s="214" t="n">
        <v>-1.359714485411041</v>
      </c>
      <c r="X9" s="215" t="n">
        <v>-1.226531157775547</v>
      </c>
      <c r="Y9" s="216" t="n">
        <v>-1.290939438159272</v>
      </c>
      <c r="Z9" s="214" t="n">
        <v>-1.135566159849707</v>
      </c>
      <c r="AA9" s="215" t="n">
        <v>-1.076743694799345</v>
      </c>
      <c r="AB9" s="216" t="n">
        <v>-1.106178130089561</v>
      </c>
    </row>
    <row r="10">
      <c r="A10" s="20" t="n">
        <v>5</v>
      </c>
      <c r="B10" s="214" t="n">
        <v>-1.118563226014894</v>
      </c>
      <c r="C10" s="215" t="n">
        <v>-1.061325256602174</v>
      </c>
      <c r="D10" s="216" t="n">
        <v>-1.089989792941123</v>
      </c>
      <c r="E10" s="214" t="n">
        <v>-0.9780310480435148</v>
      </c>
      <c r="F10" s="215" t="n">
        <v>-0.9087911117777744</v>
      </c>
      <c r="G10" s="216" t="n">
        <v>-0.9433727449127896</v>
      </c>
      <c r="H10" s="214" t="n">
        <v>-1.083928194974435</v>
      </c>
      <c r="I10" s="215" t="n">
        <v>-1.003452816229936</v>
      </c>
      <c r="J10" s="216" t="n">
        <v>-1.0434107208936</v>
      </c>
      <c r="K10" s="214" t="n">
        <v>-1.144383673499174</v>
      </c>
      <c r="L10" s="215" t="n">
        <v>-1.084244439552133</v>
      </c>
      <c r="M10" s="216" t="n">
        <v>-1.114319290097705</v>
      </c>
      <c r="N10" s="214" t="n">
        <v>-1.029262945559533</v>
      </c>
      <c r="O10" s="215" t="n">
        <v>-0.9814796675097218</v>
      </c>
      <c r="P10" s="216" t="n">
        <v>-1.005518141540678</v>
      </c>
      <c r="Q10" s="214" t="n">
        <v>-1.096595555575287</v>
      </c>
      <c r="R10" s="215" t="n">
        <v>-0.987135785187098</v>
      </c>
      <c r="S10" s="216" t="n">
        <v>-1.040870571612214</v>
      </c>
      <c r="T10" s="214" t="n">
        <v>-0.9494788835701552</v>
      </c>
      <c r="U10" s="215" t="n">
        <v>-0.9027309485493412</v>
      </c>
      <c r="V10" s="216" t="n">
        <v>-0.9262769660757875</v>
      </c>
      <c r="W10" s="214" t="n">
        <v>-1.343095215781071</v>
      </c>
      <c r="X10" s="215" t="n">
        <v>-1.209578523279219</v>
      </c>
      <c r="Y10" s="216" t="n">
        <v>-1.274158259949707</v>
      </c>
      <c r="Z10" s="214" t="n">
        <v>-1.118342652179012</v>
      </c>
      <c r="AA10" s="215" t="n">
        <v>-1.055770313772524</v>
      </c>
      <c r="AB10" s="216" t="n">
        <v>-1.087040860237163</v>
      </c>
    </row>
    <row r="11">
      <c r="A11" s="20" t="n">
        <v>10</v>
      </c>
      <c r="B11" s="214" t="n">
        <v>-1.039356296830891</v>
      </c>
      <c r="C11" s="215" t="n">
        <v>-0.9786773724073827</v>
      </c>
      <c r="D11" s="216" t="n">
        <v>-1.009052550549044</v>
      </c>
      <c r="E11" s="214" t="n">
        <v>-0.9478430756673374</v>
      </c>
      <c r="F11" s="215" t="n">
        <v>-0.8742667468274667</v>
      </c>
      <c r="G11" s="216" t="n">
        <v>-0.9109759656016303</v>
      </c>
      <c r="H11" s="214" t="n">
        <v>-1.047253908043939</v>
      </c>
      <c r="I11" s="215" t="n">
        <v>-0.9621027711189192</v>
      </c>
      <c r="J11" s="216" t="n">
        <v>-1.004333464057621</v>
      </c>
      <c r="K11" s="214" t="n">
        <v>-1.096831210331398</v>
      </c>
      <c r="L11" s="215" t="n">
        <v>-1.032908186533293</v>
      </c>
      <c r="M11" s="216" t="n">
        <v>-1.064845032243206</v>
      </c>
      <c r="N11" s="214" t="n">
        <v>-0.9836990144879681</v>
      </c>
      <c r="O11" s="215" t="n">
        <v>-0.9304026371280921</v>
      </c>
      <c r="P11" s="216" t="n">
        <v>-0.9571733425308189</v>
      </c>
      <c r="Q11" s="214" t="n">
        <v>-1.071047976682969</v>
      </c>
      <c r="R11" s="215" t="n">
        <v>-0.9601275698337381</v>
      </c>
      <c r="S11" s="216" t="n">
        <v>-1.014580430666686</v>
      </c>
      <c r="T11" s="214" t="n">
        <v>-0.9107123855068149</v>
      </c>
      <c r="U11" s="215" t="n">
        <v>-0.8634131719023083</v>
      </c>
      <c r="V11" s="216" t="n">
        <v>-0.8872426403359286</v>
      </c>
      <c r="W11" s="214" t="n">
        <v>-1.296745133685773</v>
      </c>
      <c r="X11" s="215" t="n">
        <v>-1.167808646228288</v>
      </c>
      <c r="Y11" s="216" t="n">
        <v>-1.230349615433702</v>
      </c>
      <c r="Z11" s="214" t="n">
        <v>-1.074394852398027</v>
      </c>
      <c r="AA11" s="215" t="n">
        <v>-1.005969088189058</v>
      </c>
      <c r="AB11" s="216" t="n">
        <v>-1.040106147673008</v>
      </c>
    </row>
    <row r="12">
      <c r="A12" s="20" t="n">
        <v>15</v>
      </c>
      <c r="B12" s="214" t="n">
        <v>-0.9981031832324391</v>
      </c>
      <c r="C12" s="215" t="n">
        <v>-0.9345637878929889</v>
      </c>
      <c r="D12" s="216" t="n">
        <v>-0.9663545681462627</v>
      </c>
      <c r="E12" s="214" t="n">
        <v>-0.927242945712847</v>
      </c>
      <c r="F12" s="215" t="n">
        <v>-0.8527201488025895</v>
      </c>
      <c r="G12" s="216" t="n">
        <v>-0.8899031094880889</v>
      </c>
      <c r="H12" s="214" t="n">
        <v>-1.023240468329835</v>
      </c>
      <c r="I12" s="215" t="n">
        <v>-0.93688771389348</v>
      </c>
      <c r="J12" s="216" t="n">
        <v>-0.9797140682572861</v>
      </c>
      <c r="K12" s="214" t="n">
        <v>-1.063113239118742</v>
      </c>
      <c r="L12" s="215" t="n">
        <v>-0.9956258512105295</v>
      </c>
      <c r="M12" s="216" t="n">
        <v>-1.029311968945643</v>
      </c>
      <c r="N12" s="214" t="n">
        <v>-0.95845256110004</v>
      </c>
      <c r="O12" s="215" t="n">
        <v>-0.9054437505889176</v>
      </c>
      <c r="P12" s="216" t="n">
        <v>-0.9320808894257256</v>
      </c>
      <c r="Q12" s="214" t="n">
        <v>-1.050286541804326</v>
      </c>
      <c r="R12" s="215" t="n">
        <v>-0.9395783838472487</v>
      </c>
      <c r="S12" s="216" t="n">
        <v>-0.9939578971262876</v>
      </c>
      <c r="T12" s="214" t="n">
        <v>-0.8941562380871718</v>
      </c>
      <c r="U12" s="215" t="n">
        <v>-0.8472071781386656</v>
      </c>
      <c r="V12" s="216" t="n">
        <v>-0.8708676837180984</v>
      </c>
      <c r="W12" s="214" t="n">
        <v>-1.258427694946124</v>
      </c>
      <c r="X12" s="215" t="n">
        <v>-1.137328658557015</v>
      </c>
      <c r="Y12" s="216" t="n">
        <v>-1.196304702164844</v>
      </c>
      <c r="Z12" s="214" t="n">
        <v>-1.046640904616448</v>
      </c>
      <c r="AA12" s="215" t="n">
        <v>-0.9778828398588445</v>
      </c>
      <c r="AB12" s="216" t="n">
        <v>-1.012194553685077</v>
      </c>
    </row>
    <row r="13">
      <c r="A13" s="20" t="n">
        <v>20</v>
      </c>
      <c r="B13" s="217" t="n">
        <v>-0.9416333856114224</v>
      </c>
      <c r="C13" s="218" t="n">
        <v>-0.8857760803976087</v>
      </c>
      <c r="D13" s="219" t="n">
        <v>-0.9138222201434257</v>
      </c>
      <c r="E13" s="217" t="n">
        <v>-0.8980698073923872</v>
      </c>
      <c r="F13" s="218" t="n">
        <v>-0.8220722196830965</v>
      </c>
      <c r="G13" s="219" t="n">
        <v>-0.8599928991033128</v>
      </c>
      <c r="H13" s="217" t="n">
        <v>-0.9821062749661466</v>
      </c>
      <c r="I13" s="218" t="n">
        <v>-0.9014469416092918</v>
      </c>
      <c r="J13" s="219" t="n">
        <v>-0.9415637169234314</v>
      </c>
      <c r="K13" s="217" t="n">
        <v>-1.013042255160054</v>
      </c>
      <c r="L13" s="218" t="n">
        <v>-0.9449104436400929</v>
      </c>
      <c r="M13" s="219" t="n">
        <v>-0.9789341450370054</v>
      </c>
      <c r="N13" s="217" t="n">
        <v>-0.9231512670771203</v>
      </c>
      <c r="O13" s="218" t="n">
        <v>-0.8735350370491204</v>
      </c>
      <c r="P13" s="219" t="n">
        <v>-0.8985080128007928</v>
      </c>
      <c r="Q13" s="217" t="n">
        <v>-1.015086047258313</v>
      </c>
      <c r="R13" s="218" t="n">
        <v>-0.9071603139652353</v>
      </c>
      <c r="S13" s="219" t="n">
        <v>-0.9602726570812409</v>
      </c>
      <c r="T13" s="217" t="n">
        <v>-0.8745004288231203</v>
      </c>
      <c r="U13" s="218" t="n">
        <v>-0.8253922500765591</v>
      </c>
      <c r="V13" s="219" t="n">
        <v>-0.850128711049871</v>
      </c>
      <c r="W13" s="217" t="n">
        <v>-1.202097176737276</v>
      </c>
      <c r="X13" s="218" t="n">
        <v>-1.080488699984015</v>
      </c>
      <c r="Y13" s="219" t="n">
        <v>-1.13976708726787</v>
      </c>
      <c r="Z13" s="217" t="n">
        <v>-1.006677358238962</v>
      </c>
      <c r="AA13" s="218" t="n">
        <v>-0.9381058693664397</v>
      </c>
      <c r="AB13" s="219" t="n">
        <v>-0.9723468418235381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9">
    <mergeCell ref="B3:D3"/>
    <mergeCell ref="W3:Y3"/>
    <mergeCell ref="T3:V3"/>
    <mergeCell ref="E3:G3"/>
    <mergeCell ref="K3:M3"/>
    <mergeCell ref="H3:J3"/>
    <mergeCell ref="Z3:AB3"/>
    <mergeCell ref="N3:P3"/>
    <mergeCell ref="Q3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00B050"/>
    <outlinePr summaryBelow="0" summaryRight="0"/>
    <pageSetUpPr/>
  </sheetPr>
  <dimension ref="B2:AB45"/>
  <sheetViews>
    <sheetView showGridLines="0" tabSelected="1" topLeftCell="U19" zoomScaleNormal="60" workbookViewId="0">
      <selection activeCell="AB31" sqref="AB31"/>
    </sheetView>
  </sheetViews>
  <sheetFormatPr baseColWidth="10" defaultColWidth="14.44140625" defaultRowHeight="15" customHeight="1"/>
  <cols>
    <col width="6.77734375" customWidth="1" min="1" max="1"/>
    <col width="15.77734375" bestFit="1" customWidth="1" min="17" max="17"/>
    <col width="3.33203125" customWidth="1" min="21" max="21"/>
    <col hidden="1" width="16.44140625" customWidth="1" min="22" max="23"/>
  </cols>
  <sheetData>
    <row r="2" ht="15" customHeight="1">
      <c r="B2" s="179" t="inlineStr">
        <is>
          <t>Hombres, 2019 — Chiapas</t>
        </is>
      </c>
    </row>
    <row r="3" ht="33" customHeight="1">
      <c r="B3" s="113" t="inlineStr">
        <is>
          <t>Age x</t>
        </is>
      </c>
      <c r="C3" s="112" t="inlineStr">
        <is>
          <t>n</t>
        </is>
      </c>
      <c r="D3" s="112" t="inlineStr">
        <is>
          <t>nDx</t>
        </is>
      </c>
      <c r="E3" s="112" t="inlineStr">
        <is>
          <t>nDxi</t>
        </is>
      </c>
      <c r="F3" s="111" t="n"/>
      <c r="G3" s="110" t="n"/>
      <c r="H3" s="110" t="n"/>
      <c r="I3" s="110" t="inlineStr">
        <is>
          <t>nqx</t>
        </is>
      </c>
      <c r="J3" s="110" t="n"/>
      <c r="K3" s="109" t="inlineStr">
        <is>
          <t>e0</t>
        </is>
      </c>
      <c r="L3" s="110" t="n"/>
      <c r="M3" s="110" t="inlineStr">
        <is>
          <t>nqx_i</t>
        </is>
      </c>
      <c r="N3" s="110" t="n"/>
      <c r="O3" s="110" t="inlineStr">
        <is>
          <t>ndx_i</t>
        </is>
      </c>
      <c r="P3" s="110" t="n"/>
      <c r="Q3" s="110" t="inlineStr">
        <is>
          <t>L</t>
        </is>
      </c>
      <c r="R3" s="110" t="inlineStr">
        <is>
          <t>T</t>
        </is>
      </c>
      <c r="S3" s="109" t="inlineStr">
        <is>
          <t>e0_i</t>
        </is>
      </c>
      <c r="T3" s="108" t="inlineStr">
        <is>
          <t>diff</t>
        </is>
      </c>
    </row>
    <row r="4" ht="15" customHeight="1">
      <c r="B4" s="102" t="n">
        <v>0</v>
      </c>
      <c r="C4" s="101" t="n">
        <v>1</v>
      </c>
      <c r="D4" s="115">
        <f>'Defunciones generales'!D21</f>
        <v/>
      </c>
      <c r="E4" s="115">
        <f>Homicidios!D553</f>
        <v/>
      </c>
      <c r="F4" s="96">
        <f>(D4-E4)/D4</f>
        <v/>
      </c>
      <c r="G4" s="117">
        <f>LT!H21</f>
        <v/>
      </c>
      <c r="H4" s="119">
        <f>1-LT!F21</f>
        <v/>
      </c>
      <c r="I4" s="100">
        <f>1-H4</f>
        <v/>
      </c>
      <c r="J4" s="121">
        <f>LT!G21</f>
        <v/>
      </c>
      <c r="K4" s="134">
        <f>LT!L21</f>
        <v/>
      </c>
      <c r="L4" s="100">
        <f>H4^F4</f>
        <v/>
      </c>
      <c r="M4" s="220">
        <f>1-L4</f>
        <v/>
      </c>
      <c r="N4" s="97" t="n">
        <v>100000</v>
      </c>
      <c r="O4" s="221">
        <f>N4*M4</f>
        <v/>
      </c>
      <c r="P4" s="221">
        <f>C4+(F4*(I4/M4)*(J4-C4))</f>
        <v/>
      </c>
      <c r="Q4" s="97">
        <f>(C4*N5)+(P4*O4)</f>
        <v/>
      </c>
      <c r="R4" s="97">
        <f>R5+Q4</f>
        <v/>
      </c>
      <c r="S4" s="135">
        <f>R4/N4</f>
        <v/>
      </c>
      <c r="T4" s="95">
        <f>S4-K4</f>
        <v/>
      </c>
    </row>
    <row r="5" ht="15" customHeight="1">
      <c r="B5" s="102" t="n">
        <v>1</v>
      </c>
      <c r="C5" s="101" t="n">
        <v>4</v>
      </c>
      <c r="D5" s="115">
        <f>'Defunciones generales'!D22</f>
        <v/>
      </c>
      <c r="E5" s="115">
        <f>Homicidios!D554</f>
        <v/>
      </c>
      <c r="F5" s="96">
        <f>(D5-E5)/D5</f>
        <v/>
      </c>
      <c r="G5" s="117">
        <f>LT!H22</f>
        <v/>
      </c>
      <c r="H5" s="119">
        <f>1-LT!F22</f>
        <v/>
      </c>
      <c r="I5" s="100">
        <f>1-H5</f>
        <v/>
      </c>
      <c r="J5" s="121">
        <f>LT!G22</f>
        <v/>
      </c>
      <c r="K5" s="122">
        <f>LT!L22</f>
        <v/>
      </c>
      <c r="L5" s="100">
        <f>H5^F5</f>
        <v/>
      </c>
      <c r="M5" s="220">
        <f>1-L5</f>
        <v/>
      </c>
      <c r="N5" s="97">
        <f>N4*L4</f>
        <v/>
      </c>
      <c r="O5" s="221">
        <f>N5*M5</f>
        <v/>
      </c>
      <c r="P5" s="221">
        <f>C5+(F5*(I5/M5)*(J5-C5))</f>
        <v/>
      </c>
      <c r="Q5" s="97">
        <f>(C5*N6)+(P5*O5)</f>
        <v/>
      </c>
      <c r="R5" s="97">
        <f>R6+Q5</f>
        <v/>
      </c>
      <c r="S5" s="96">
        <f>R5/N5</f>
        <v/>
      </c>
      <c r="T5" s="95">
        <f>S5-K5</f>
        <v/>
      </c>
      <c r="V5" s="222" t="inlineStr">
        <is>
          <t>Número de años que se espera 
que viva un hombre de 0 años 
hasta llegar a los 85 años.</t>
        </is>
      </c>
      <c r="W5" s="223" t="n"/>
    </row>
    <row r="6" ht="15" customHeight="1">
      <c r="B6" s="102" t="n">
        <v>5</v>
      </c>
      <c r="C6" s="101" t="n">
        <v>5</v>
      </c>
      <c r="D6" s="115">
        <f>'Defunciones generales'!D23</f>
        <v/>
      </c>
      <c r="E6" s="115">
        <f>Homicidios!D555</f>
        <v/>
      </c>
      <c r="F6" s="96">
        <f>(D6-E6)/D6</f>
        <v/>
      </c>
      <c r="G6" s="117">
        <f>LT!H23</f>
        <v/>
      </c>
      <c r="H6" s="119">
        <f>1-LT!F23</f>
        <v/>
      </c>
      <c r="I6" s="100">
        <f>1-H6</f>
        <v/>
      </c>
      <c r="J6" s="121">
        <f>LT!G23</f>
        <v/>
      </c>
      <c r="K6" s="122">
        <f>LT!L23</f>
        <v/>
      </c>
      <c r="L6" s="100">
        <f>H6^F6</f>
        <v/>
      </c>
      <c r="M6" s="220">
        <f>1-L6</f>
        <v/>
      </c>
      <c r="N6" s="97">
        <f>N5*L5</f>
        <v/>
      </c>
      <c r="O6" s="221">
        <f>N6*M6</f>
        <v/>
      </c>
      <c r="P6" s="221">
        <f>C6+(F6*(I6/M6)*(J6-C6))</f>
        <v/>
      </c>
      <c r="Q6" s="97">
        <f>(C6*N7)+(P6*O6)</f>
        <v/>
      </c>
      <c r="R6" s="97">
        <f>R7+Q6</f>
        <v/>
      </c>
      <c r="S6" s="96">
        <f>R6/N6</f>
        <v/>
      </c>
      <c r="T6" s="95">
        <f>S6-K6</f>
        <v/>
      </c>
      <c r="V6" s="224" t="n"/>
      <c r="W6" s="225" t="n"/>
    </row>
    <row r="7" ht="15" customHeight="1">
      <c r="B7" s="102" t="n">
        <v>10</v>
      </c>
      <c r="C7" s="101" t="n">
        <v>5</v>
      </c>
      <c r="D7" s="115">
        <f>'Defunciones generales'!D24</f>
        <v/>
      </c>
      <c r="E7" s="115">
        <f>Homicidios!D556</f>
        <v/>
      </c>
      <c r="F7" s="96">
        <f>(D7-E7)/D7</f>
        <v/>
      </c>
      <c r="G7" s="117">
        <f>LT!H24</f>
        <v/>
      </c>
      <c r="H7" s="119">
        <f>1-LT!F24</f>
        <v/>
      </c>
      <c r="I7" s="100">
        <f>1-H7</f>
        <v/>
      </c>
      <c r="J7" s="121">
        <f>LT!G24</f>
        <v/>
      </c>
      <c r="K7" s="122">
        <f>LT!L24</f>
        <v/>
      </c>
      <c r="L7" s="100">
        <f>H7^F7</f>
        <v/>
      </c>
      <c r="M7" s="220">
        <f>1-L7</f>
        <v/>
      </c>
      <c r="N7" s="97">
        <f>N6*L6</f>
        <v/>
      </c>
      <c r="O7" s="221">
        <f>N7*M7</f>
        <v/>
      </c>
      <c r="P7" s="100">
        <f>(((-5/24)*O6)+((2.5)*O7)+((5/24)*O8))/O7</f>
        <v/>
      </c>
      <c r="Q7" s="97">
        <f>(C7*N8)+(P7*O7)</f>
        <v/>
      </c>
      <c r="R7" s="97">
        <f>R8+Q7</f>
        <v/>
      </c>
      <c r="S7" s="96">
        <f>R7/N7</f>
        <v/>
      </c>
      <c r="T7" s="95">
        <f>S7-K7</f>
        <v/>
      </c>
      <c r="V7" s="226" t="n"/>
      <c r="W7" s="227" t="n"/>
    </row>
    <row r="8" ht="15" customHeight="1">
      <c r="B8" s="102" t="n">
        <v>15</v>
      </c>
      <c r="C8" s="101" t="n">
        <v>5</v>
      </c>
      <c r="D8" s="115">
        <f>'Defunciones generales'!D25</f>
        <v/>
      </c>
      <c r="E8" s="115">
        <f>Homicidios!D557</f>
        <v/>
      </c>
      <c r="F8" s="96">
        <f>(D8-E8)/D8</f>
        <v/>
      </c>
      <c r="G8" s="117">
        <f>LT!H25</f>
        <v/>
      </c>
      <c r="H8" s="119">
        <f>1-LT!F25</f>
        <v/>
      </c>
      <c r="I8" s="100">
        <f>1-H8</f>
        <v/>
      </c>
      <c r="J8" s="121">
        <f>LT!G25</f>
        <v/>
      </c>
      <c r="K8" s="122">
        <f>LT!L25</f>
        <v/>
      </c>
      <c r="L8" s="100">
        <f>H8^F8</f>
        <v/>
      </c>
      <c r="M8" s="220">
        <f>1-L8</f>
        <v/>
      </c>
      <c r="N8" s="97">
        <f>N7*L7</f>
        <v/>
      </c>
      <c r="O8" s="221">
        <f>N8*M8</f>
        <v/>
      </c>
      <c r="P8" s="100">
        <f>(((-5/24)*O7)+((2.5)*O8)+((5/24)*O9))/O8</f>
        <v/>
      </c>
      <c r="Q8" s="97">
        <f>(C8*N9)+(P8*O8)</f>
        <v/>
      </c>
      <c r="R8" s="97">
        <f>R9+Q8</f>
        <v/>
      </c>
      <c r="S8" s="96">
        <f>R8/N8</f>
        <v/>
      </c>
      <c r="T8" s="95">
        <f>S8-K8</f>
        <v/>
      </c>
      <c r="V8" s="106" t="inlineStr">
        <is>
          <t>Sin COVID</t>
        </is>
      </c>
      <c r="W8" s="106" t="inlineStr">
        <is>
          <t>Con COVID</t>
        </is>
      </c>
    </row>
    <row r="9" ht="15" customHeight="1">
      <c r="B9" s="102" t="n">
        <v>20</v>
      </c>
      <c r="C9" s="101" t="n">
        <v>5</v>
      </c>
      <c r="D9" s="115">
        <f>'Defunciones generales'!D26</f>
        <v/>
      </c>
      <c r="E9" s="115">
        <f>Homicidios!D558</f>
        <v/>
      </c>
      <c r="F9" s="96">
        <f>(D9-E9)/D9</f>
        <v/>
      </c>
      <c r="G9" s="117">
        <f>LT!H26</f>
        <v/>
      </c>
      <c r="H9" s="119">
        <f>1-LT!F26</f>
        <v/>
      </c>
      <c r="I9" s="100">
        <f>1-H9</f>
        <v/>
      </c>
      <c r="J9" s="121">
        <f>LT!G26</f>
        <v/>
      </c>
      <c r="K9" s="122">
        <f>LT!L26</f>
        <v/>
      </c>
      <c r="L9" s="100">
        <f>H9^F9</f>
        <v/>
      </c>
      <c r="M9" s="220">
        <f>1-L9</f>
        <v/>
      </c>
      <c r="N9" s="97">
        <f>N8*L8</f>
        <v/>
      </c>
      <c r="O9" s="221">
        <f>N9*M9</f>
        <v/>
      </c>
      <c r="P9" s="100">
        <f>(((-5/24)*O8)+((2.5)*O9)+((5/24)*O10))/O9</f>
        <v/>
      </c>
      <c r="Q9" s="97">
        <f>(C9*N10)+(P9*O9)</f>
        <v/>
      </c>
      <c r="R9" s="97">
        <f>R10+Q9</f>
        <v/>
      </c>
      <c r="S9" s="96">
        <f>R9/N9</f>
        <v/>
      </c>
      <c r="T9" s="95">
        <f>S9-K9</f>
        <v/>
      </c>
      <c r="V9" s="103">
        <f>([1]TV!M53-[1]TV!M71)/[1]TV!J53</f>
        <v/>
      </c>
      <c r="W9" s="103">
        <f>(R4-R22)/N4</f>
        <v/>
      </c>
    </row>
    <row r="10" ht="15" customHeight="1">
      <c r="B10" s="102" t="n">
        <v>25</v>
      </c>
      <c r="C10" s="101" t="n">
        <v>5</v>
      </c>
      <c r="D10" s="115">
        <f>'Defunciones generales'!D27</f>
        <v/>
      </c>
      <c r="E10" s="115">
        <f>Homicidios!D559</f>
        <v/>
      </c>
      <c r="F10" s="96">
        <f>(D10-E10)/D10</f>
        <v/>
      </c>
      <c r="G10" s="117">
        <f>LT!H27</f>
        <v/>
      </c>
      <c r="H10" s="119">
        <f>1-LT!F27</f>
        <v/>
      </c>
      <c r="I10" s="100">
        <f>1-H10</f>
        <v/>
      </c>
      <c r="J10" s="121">
        <f>LT!G27</f>
        <v/>
      </c>
      <c r="K10" s="122">
        <f>LT!L27</f>
        <v/>
      </c>
      <c r="L10" s="100">
        <f>H10^F10</f>
        <v/>
      </c>
      <c r="M10" s="220">
        <f>1-L10</f>
        <v/>
      </c>
      <c r="N10" s="97">
        <f>N9*L9</f>
        <v/>
      </c>
      <c r="O10" s="221">
        <f>N10*M10</f>
        <v/>
      </c>
      <c r="P10" s="100">
        <f>(((-5/24)*O9)+((2.5)*O10)+((5/24)*O11))/O10</f>
        <v/>
      </c>
      <c r="Q10" s="97">
        <f>(C10*N11)+(P10*O10)</f>
        <v/>
      </c>
      <c r="R10" s="97">
        <f>R11+Q10</f>
        <v/>
      </c>
      <c r="S10" s="96">
        <f>R10/N10</f>
        <v/>
      </c>
      <c r="T10" s="95">
        <f>S10-K10</f>
        <v/>
      </c>
      <c r="V10" s="104" t="inlineStr">
        <is>
          <t>Diff</t>
        </is>
      </c>
      <c r="W10" s="103">
        <f>W9-V9</f>
        <v/>
      </c>
    </row>
    <row r="11" ht="15" customHeight="1">
      <c r="B11" s="102" t="n">
        <v>30</v>
      </c>
      <c r="C11" s="101" t="n">
        <v>5</v>
      </c>
      <c r="D11" s="115">
        <f>'Defunciones generales'!D28</f>
        <v/>
      </c>
      <c r="E11" s="115">
        <f>Homicidios!D560</f>
        <v/>
      </c>
      <c r="F11" s="96">
        <f>(D11-E11)/D11</f>
        <v/>
      </c>
      <c r="G11" s="117">
        <f>LT!H28</f>
        <v/>
      </c>
      <c r="H11" s="119">
        <f>1-LT!F28</f>
        <v/>
      </c>
      <c r="I11" s="100">
        <f>1-H11</f>
        <v/>
      </c>
      <c r="J11" s="121">
        <f>LT!G28</f>
        <v/>
      </c>
      <c r="K11" s="122">
        <f>LT!L28</f>
        <v/>
      </c>
      <c r="L11" s="100">
        <f>H11^F11</f>
        <v/>
      </c>
      <c r="M11" s="220">
        <f>1-L11</f>
        <v/>
      </c>
      <c r="N11" s="97">
        <f>N10*L10</f>
        <v/>
      </c>
      <c r="O11" s="221">
        <f>N11*M11</f>
        <v/>
      </c>
      <c r="P11" s="100">
        <f>(((-5/24)*O10)+((2.5)*O11)+((5/24)*O12))/O11</f>
        <v/>
      </c>
      <c r="Q11" s="97">
        <f>(C11*N12)+(P11*O11)</f>
        <v/>
      </c>
      <c r="R11" s="97">
        <f>R12+Q11</f>
        <v/>
      </c>
      <c r="S11" s="96">
        <f>R11/N11</f>
        <v/>
      </c>
      <c r="T11" s="95">
        <f>S11-K11</f>
        <v/>
      </c>
    </row>
    <row r="12" ht="15" customHeight="1">
      <c r="B12" s="102" t="n">
        <v>35</v>
      </c>
      <c r="C12" s="101" t="n">
        <v>5</v>
      </c>
      <c r="D12" s="115">
        <f>'Defunciones generales'!D29</f>
        <v/>
      </c>
      <c r="E12" s="115">
        <f>Homicidios!D561</f>
        <v/>
      </c>
      <c r="F12" s="96">
        <f>(D12-E12)/D12</f>
        <v/>
      </c>
      <c r="G12" s="117">
        <f>LT!H29</f>
        <v/>
      </c>
      <c r="H12" s="119">
        <f>1-LT!F29</f>
        <v/>
      </c>
      <c r="I12" s="100">
        <f>1-H12</f>
        <v/>
      </c>
      <c r="J12" s="121">
        <f>LT!G29</f>
        <v/>
      </c>
      <c r="K12" s="122">
        <f>LT!L29</f>
        <v/>
      </c>
      <c r="L12" s="100">
        <f>H12^F12</f>
        <v/>
      </c>
      <c r="M12" s="220">
        <f>1-L12</f>
        <v/>
      </c>
      <c r="N12" s="97">
        <f>N11*L11</f>
        <v/>
      </c>
      <c r="O12" s="221">
        <f>N12*M12</f>
        <v/>
      </c>
      <c r="P12" s="100">
        <f>(((-5/24)*O11)+((2.5)*O12)+((5/24)*O13))/O12</f>
        <v/>
      </c>
      <c r="Q12" s="97">
        <f>(C12*N13)+(P12*O12)</f>
        <v/>
      </c>
      <c r="R12" s="97">
        <f>R13+Q12</f>
        <v/>
      </c>
      <c r="S12" s="96">
        <f>R12/N12</f>
        <v/>
      </c>
      <c r="T12" s="95">
        <f>S12-K12</f>
        <v/>
      </c>
    </row>
    <row r="13" ht="15" customHeight="1">
      <c r="B13" s="102" t="n">
        <v>40</v>
      </c>
      <c r="C13" s="101" t="n">
        <v>5</v>
      </c>
      <c r="D13" s="115">
        <f>'Defunciones generales'!D30</f>
        <v/>
      </c>
      <c r="E13" s="115">
        <f>Homicidios!D562</f>
        <v/>
      </c>
      <c r="F13" s="96">
        <f>(D13-E13)/D13</f>
        <v/>
      </c>
      <c r="G13" s="117">
        <f>LT!H30</f>
        <v/>
      </c>
      <c r="H13" s="119">
        <f>1-LT!F30</f>
        <v/>
      </c>
      <c r="I13" s="100">
        <f>1-H13</f>
        <v/>
      </c>
      <c r="J13" s="121">
        <f>LT!G30</f>
        <v/>
      </c>
      <c r="K13" s="122">
        <f>LT!L30</f>
        <v/>
      </c>
      <c r="L13" s="100">
        <f>H13^F13</f>
        <v/>
      </c>
      <c r="M13" s="220">
        <f>1-L13</f>
        <v/>
      </c>
      <c r="N13" s="97">
        <f>N12*L12</f>
        <v/>
      </c>
      <c r="O13" s="221">
        <f>N13*M13</f>
        <v/>
      </c>
      <c r="P13" s="100">
        <f>(((-5/24)*O12)+((2.5)*O13)+((5/24)*O14))/O13</f>
        <v/>
      </c>
      <c r="Q13" s="97">
        <f>(C13*N14)+(P13*O13)</f>
        <v/>
      </c>
      <c r="R13" s="97">
        <f>R14+Q13</f>
        <v/>
      </c>
      <c r="S13" s="96">
        <f>R13/N13</f>
        <v/>
      </c>
      <c r="T13" s="95">
        <f>S13-K13</f>
        <v/>
      </c>
    </row>
    <row r="14" ht="15" customHeight="1">
      <c r="B14" s="102" t="n">
        <v>45</v>
      </c>
      <c r="C14" s="101" t="n">
        <v>5</v>
      </c>
      <c r="D14" s="115">
        <f>'Defunciones generales'!D31</f>
        <v/>
      </c>
      <c r="E14" s="115">
        <f>Homicidios!D563</f>
        <v/>
      </c>
      <c r="F14" s="96">
        <f>(D14-E14)/D14</f>
        <v/>
      </c>
      <c r="G14" s="117">
        <f>LT!H31</f>
        <v/>
      </c>
      <c r="H14" s="119">
        <f>1-LT!F31</f>
        <v/>
      </c>
      <c r="I14" s="100">
        <f>1-H14</f>
        <v/>
      </c>
      <c r="J14" s="121">
        <f>LT!G31</f>
        <v/>
      </c>
      <c r="K14" s="122">
        <f>LT!L31</f>
        <v/>
      </c>
      <c r="L14" s="100">
        <f>H14^F14</f>
        <v/>
      </c>
      <c r="M14" s="220">
        <f>1-L14</f>
        <v/>
      </c>
      <c r="N14" s="97">
        <f>N13*L13</f>
        <v/>
      </c>
      <c r="O14" s="221">
        <f>N14*M14</f>
        <v/>
      </c>
      <c r="P14" s="100">
        <f>(((-5/24)*O13)+((2.5)*O14)+((5/24)*O15))/O14</f>
        <v/>
      </c>
      <c r="Q14" s="97">
        <f>(C14*N15)+(P14*O14)</f>
        <v/>
      </c>
      <c r="R14" s="97">
        <f>R15+Q14</f>
        <v/>
      </c>
      <c r="S14" s="96">
        <f>R14/N14</f>
        <v/>
      </c>
      <c r="T14" s="95">
        <f>S14-K14</f>
        <v/>
      </c>
    </row>
    <row r="15" ht="15" customHeight="1">
      <c r="B15" s="102" t="n">
        <v>50</v>
      </c>
      <c r="C15" s="101" t="n">
        <v>5</v>
      </c>
      <c r="D15" s="115">
        <f>'Defunciones generales'!D32</f>
        <v/>
      </c>
      <c r="E15" s="115">
        <f>Homicidios!D564</f>
        <v/>
      </c>
      <c r="F15" s="96">
        <f>(D15-E15)/D15</f>
        <v/>
      </c>
      <c r="G15" s="117">
        <f>LT!H32</f>
        <v/>
      </c>
      <c r="H15" s="119">
        <f>1-LT!F32</f>
        <v/>
      </c>
      <c r="I15" s="100">
        <f>1-H15</f>
        <v/>
      </c>
      <c r="J15" s="121">
        <f>LT!G32</f>
        <v/>
      </c>
      <c r="K15" s="122">
        <f>LT!L32</f>
        <v/>
      </c>
      <c r="L15" s="100">
        <f>H15^F15</f>
        <v/>
      </c>
      <c r="M15" s="220">
        <f>1-L15</f>
        <v/>
      </c>
      <c r="N15" s="97">
        <f>N14*L14</f>
        <v/>
      </c>
      <c r="O15" s="221">
        <f>N15*M15</f>
        <v/>
      </c>
      <c r="P15" s="100">
        <f>(((-5/24)*O14)+((2.5)*O15)+((5/24)*O16))/O15</f>
        <v/>
      </c>
      <c r="Q15" s="97">
        <f>(C15*N16)+(P15*O15)</f>
        <v/>
      </c>
      <c r="R15" s="97">
        <f>R16+Q15</f>
        <v/>
      </c>
      <c r="S15" s="96">
        <f>R15/N15</f>
        <v/>
      </c>
      <c r="T15" s="95">
        <f>S15-K15</f>
        <v/>
      </c>
    </row>
    <row r="16" ht="15" customHeight="1">
      <c r="B16" s="102" t="n">
        <v>55</v>
      </c>
      <c r="C16" s="101" t="n">
        <v>5</v>
      </c>
      <c r="D16" s="115">
        <f>'Defunciones generales'!D33</f>
        <v/>
      </c>
      <c r="E16" s="115">
        <f>Homicidios!D565</f>
        <v/>
      </c>
      <c r="F16" s="96">
        <f>(D16-E16)/D16</f>
        <v/>
      </c>
      <c r="G16" s="117">
        <f>LT!H33</f>
        <v/>
      </c>
      <c r="H16" s="119">
        <f>1-LT!F33</f>
        <v/>
      </c>
      <c r="I16" s="100">
        <f>1-H16</f>
        <v/>
      </c>
      <c r="J16" s="121">
        <f>LT!G33</f>
        <v/>
      </c>
      <c r="K16" s="122">
        <f>LT!L33</f>
        <v/>
      </c>
      <c r="L16" s="100">
        <f>H16^F16</f>
        <v/>
      </c>
      <c r="M16" s="220">
        <f>1-L16</f>
        <v/>
      </c>
      <c r="N16" s="97">
        <f>N15*L15</f>
        <v/>
      </c>
      <c r="O16" s="221">
        <f>N16*M16</f>
        <v/>
      </c>
      <c r="P16" s="100">
        <f>(((-5/24)*O15)+((2.5)*O16)+((5/24)*O17))/O16</f>
        <v/>
      </c>
      <c r="Q16" s="97">
        <f>(C16*N17)+(P16*O16)</f>
        <v/>
      </c>
      <c r="R16" s="97">
        <f>R17+Q16</f>
        <v/>
      </c>
      <c r="S16" s="96">
        <f>R16/N16</f>
        <v/>
      </c>
      <c r="T16" s="95">
        <f>S16-K16</f>
        <v/>
      </c>
    </row>
    <row r="17" ht="15" customHeight="1">
      <c r="B17" s="102" t="n">
        <v>60</v>
      </c>
      <c r="C17" s="101" t="n">
        <v>5</v>
      </c>
      <c r="D17" s="115">
        <f>'Defunciones generales'!D34</f>
        <v/>
      </c>
      <c r="E17" s="115">
        <f>Homicidios!D566</f>
        <v/>
      </c>
      <c r="F17" s="96">
        <f>(D17-E17)/D17</f>
        <v/>
      </c>
      <c r="G17" s="117">
        <f>LT!H34</f>
        <v/>
      </c>
      <c r="H17" s="119">
        <f>1-LT!F34</f>
        <v/>
      </c>
      <c r="I17" s="100">
        <f>1-H17</f>
        <v/>
      </c>
      <c r="J17" s="121">
        <f>LT!G34</f>
        <v/>
      </c>
      <c r="K17" s="122">
        <f>LT!L34</f>
        <v/>
      </c>
      <c r="L17" s="100">
        <f>H17^F17</f>
        <v/>
      </c>
      <c r="M17" s="220">
        <f>1-L17</f>
        <v/>
      </c>
      <c r="N17" s="97">
        <f>N16*L16</f>
        <v/>
      </c>
      <c r="O17" s="221">
        <f>N17*M17</f>
        <v/>
      </c>
      <c r="P17" s="100">
        <f>(((-5/24)*O16)+((2.5)*O17)+((5/24)*O18))/O17</f>
        <v/>
      </c>
      <c r="Q17" s="97">
        <f>(C17*N18)+(P17*O17)</f>
        <v/>
      </c>
      <c r="R17" s="97">
        <f>R18+Q17</f>
        <v/>
      </c>
      <c r="S17" s="96">
        <f>R17/N17</f>
        <v/>
      </c>
      <c r="T17" s="95">
        <f>S17-K17</f>
        <v/>
      </c>
    </row>
    <row r="18" ht="15" customHeight="1">
      <c r="B18" s="102" t="n">
        <v>65</v>
      </c>
      <c r="C18" s="101" t="n">
        <v>5</v>
      </c>
      <c r="D18" s="115">
        <f>'Defunciones generales'!D35</f>
        <v/>
      </c>
      <c r="E18" s="115">
        <f>Homicidios!D567</f>
        <v/>
      </c>
      <c r="F18" s="96">
        <f>(D18-E18)/D18</f>
        <v/>
      </c>
      <c r="G18" s="117">
        <f>LT!H35</f>
        <v/>
      </c>
      <c r="H18" s="119">
        <f>1-LT!F35</f>
        <v/>
      </c>
      <c r="I18" s="100">
        <f>1-H18</f>
        <v/>
      </c>
      <c r="J18" s="121">
        <f>LT!G35</f>
        <v/>
      </c>
      <c r="K18" s="122">
        <f>LT!L35</f>
        <v/>
      </c>
      <c r="L18" s="100">
        <f>H18^F18</f>
        <v/>
      </c>
      <c r="M18" s="220">
        <f>1-L18</f>
        <v/>
      </c>
      <c r="N18" s="97">
        <f>N17*L17</f>
        <v/>
      </c>
      <c r="O18" s="221">
        <f>N18*M18</f>
        <v/>
      </c>
      <c r="P18" s="100">
        <f>(((-5/24)*O17)+((2.5)*O18)+((5/24)*O19))/O18</f>
        <v/>
      </c>
      <c r="Q18" s="97">
        <f>(C18*N19)+(P18*O18)</f>
        <v/>
      </c>
      <c r="R18" s="97">
        <f>R19+Q18</f>
        <v/>
      </c>
      <c r="S18" s="96">
        <f>R18/N18</f>
        <v/>
      </c>
      <c r="T18" s="95">
        <f>S18-K18</f>
        <v/>
      </c>
    </row>
    <row r="19" ht="15" customHeight="1">
      <c r="B19" s="102" t="n">
        <v>70</v>
      </c>
      <c r="C19" s="101" t="n">
        <v>5</v>
      </c>
      <c r="D19" s="115">
        <f>'Defunciones generales'!D36</f>
        <v/>
      </c>
      <c r="E19" s="115">
        <f>Homicidios!D568</f>
        <v/>
      </c>
      <c r="F19" s="96">
        <f>(D19-E19)/D19</f>
        <v/>
      </c>
      <c r="G19" s="117">
        <f>LT!H36</f>
        <v/>
      </c>
      <c r="H19" s="119">
        <f>1-LT!F36</f>
        <v/>
      </c>
      <c r="I19" s="100">
        <f>1-H19</f>
        <v/>
      </c>
      <c r="J19" s="121">
        <f>LT!G36</f>
        <v/>
      </c>
      <c r="K19" s="122">
        <f>LT!L36</f>
        <v/>
      </c>
      <c r="L19" s="100">
        <f>H19^F19</f>
        <v/>
      </c>
      <c r="M19" s="220">
        <f>1-L19</f>
        <v/>
      </c>
      <c r="N19" s="97">
        <f>N18*L18</f>
        <v/>
      </c>
      <c r="O19" s="221">
        <f>N19*M19</f>
        <v/>
      </c>
      <c r="P19" s="100">
        <f>(((-5/24)*O18)+((2.5)*O19)+((5/24)*O20))/O19</f>
        <v/>
      </c>
      <c r="Q19" s="97">
        <f>(C19*N20)+(P19*O19)</f>
        <v/>
      </c>
      <c r="R19" s="97">
        <f>R20+Q19</f>
        <v/>
      </c>
      <c r="S19" s="96">
        <f>R19/N19</f>
        <v/>
      </c>
      <c r="T19" s="95">
        <f>S19-K19</f>
        <v/>
      </c>
    </row>
    <row r="20" ht="15" customHeight="1">
      <c r="B20" s="102" t="n">
        <v>75</v>
      </c>
      <c r="C20" s="101" t="n">
        <v>5</v>
      </c>
      <c r="D20" s="115">
        <f>'Defunciones generales'!D37</f>
        <v/>
      </c>
      <c r="E20" s="115">
        <f>Homicidios!D569</f>
        <v/>
      </c>
      <c r="F20" s="96">
        <f>(D20-E20)/D20</f>
        <v/>
      </c>
      <c r="G20" s="117">
        <f>LT!H37</f>
        <v/>
      </c>
      <c r="H20" s="119">
        <f>1-LT!F37</f>
        <v/>
      </c>
      <c r="I20" s="100">
        <f>1-H20</f>
        <v/>
      </c>
      <c r="J20" s="121">
        <f>LT!G37</f>
        <v/>
      </c>
      <c r="K20" s="122">
        <f>LT!L37</f>
        <v/>
      </c>
      <c r="L20" s="100">
        <f>H20^F20</f>
        <v/>
      </c>
      <c r="M20" s="220">
        <f>1-L20</f>
        <v/>
      </c>
      <c r="N20" s="97">
        <f>N19*L19</f>
        <v/>
      </c>
      <c r="O20" s="221">
        <f>N20*M20</f>
        <v/>
      </c>
      <c r="P20" s="100">
        <f>(((-5/24)*O19)+((2.5)*O20)+((5/24)*O21))/O20</f>
        <v/>
      </c>
      <c r="Q20" s="97">
        <f>(C20*N21)+(P20*O20)</f>
        <v/>
      </c>
      <c r="R20" s="97">
        <f>R21+Q20</f>
        <v/>
      </c>
      <c r="S20" s="96">
        <f>R20/N20</f>
        <v/>
      </c>
      <c r="T20" s="95">
        <f>S20-K20</f>
        <v/>
      </c>
    </row>
    <row r="21" ht="15" customHeight="1">
      <c r="B21" s="102" t="n">
        <v>80</v>
      </c>
      <c r="C21" s="101" t="n">
        <v>5</v>
      </c>
      <c r="D21" s="115">
        <f>'Defunciones generales'!D38</f>
        <v/>
      </c>
      <c r="E21" s="115">
        <f>Homicidios!D570</f>
        <v/>
      </c>
      <c r="F21" s="96">
        <f>(D21-E21)/D21</f>
        <v/>
      </c>
      <c r="G21" s="117">
        <f>LT!H38</f>
        <v/>
      </c>
      <c r="H21" s="119">
        <f>1-LT!F38</f>
        <v/>
      </c>
      <c r="I21" s="100">
        <f>1-H21</f>
        <v/>
      </c>
      <c r="J21" s="121">
        <f>LT!G38</f>
        <v/>
      </c>
      <c r="K21" s="122">
        <f>LT!L38</f>
        <v/>
      </c>
      <c r="L21" s="100">
        <f>H21^F21</f>
        <v/>
      </c>
      <c r="M21" s="220">
        <f>1-L21</f>
        <v/>
      </c>
      <c r="N21" s="97">
        <f>N20*L20</f>
        <v/>
      </c>
      <c r="O21" s="221">
        <f>N21*M21</f>
        <v/>
      </c>
      <c r="P21" s="221">
        <f>C21+(F21*(I21/M21)*(J21-C21))</f>
        <v/>
      </c>
      <c r="Q21" s="97">
        <f>(C21*N22)+(P21*O21)</f>
        <v/>
      </c>
      <c r="R21" s="97">
        <f>R22+Q21</f>
        <v/>
      </c>
      <c r="S21" s="96">
        <f>R21/N21</f>
        <v/>
      </c>
      <c r="T21" s="95">
        <f>S21-K21</f>
        <v/>
      </c>
    </row>
    <row r="22" ht="15" customHeight="1">
      <c r="B22" s="94" t="n">
        <v>85</v>
      </c>
      <c r="C22" s="144" t="n">
        <v>5</v>
      </c>
      <c r="D22" s="116">
        <f>'Defunciones generales'!D39</f>
        <v/>
      </c>
      <c r="E22" s="116">
        <f>Homicidios!D571</f>
        <v/>
      </c>
      <c r="F22" s="88">
        <f>(D22-E22)/D22</f>
        <v/>
      </c>
      <c r="G22" s="118">
        <f>LT!H39</f>
        <v/>
      </c>
      <c r="H22" s="120">
        <f>1-LT!F39</f>
        <v/>
      </c>
      <c r="I22" s="92">
        <f>1-H22</f>
        <v/>
      </c>
      <c r="J22" s="121">
        <f>LT!G39</f>
        <v/>
      </c>
      <c r="K22" s="123">
        <f>LT!L39</f>
        <v/>
      </c>
      <c r="L22" s="144">
        <f>H22^F22</f>
        <v/>
      </c>
      <c r="M22" s="228">
        <f>1-L22</f>
        <v/>
      </c>
      <c r="N22" s="89">
        <f>N21*L21</f>
        <v/>
      </c>
      <c r="O22" s="229">
        <f>N22*M22</f>
        <v/>
      </c>
      <c r="P22" s="92">
        <f>K22/F22</f>
        <v/>
      </c>
      <c r="Q22" s="123">
        <f>N22/LT!E39</f>
        <v/>
      </c>
      <c r="R22" s="89">
        <f>Q22</f>
        <v/>
      </c>
      <c r="S22" s="88">
        <f>R22/N22</f>
        <v/>
      </c>
      <c r="T22" s="87">
        <f>S22-K22</f>
        <v/>
      </c>
    </row>
    <row r="24" ht="15" customHeight="1">
      <c r="B24" s="178" t="inlineStr">
        <is>
          <t>Mujeres, 2019 — Chiapas</t>
        </is>
      </c>
    </row>
    <row r="25" ht="14.4" customHeight="1">
      <c r="C25" s="114" t="n"/>
      <c r="D25" s="114" t="n"/>
      <c r="E25" s="114" t="n"/>
      <c r="F25" s="114" t="n"/>
    </row>
    <row r="26" ht="33" customHeight="1">
      <c r="B26" s="113" t="inlineStr">
        <is>
          <t>Age x</t>
        </is>
      </c>
      <c r="C26" s="112" t="inlineStr">
        <is>
          <t>n</t>
        </is>
      </c>
      <c r="D26" s="112" t="inlineStr">
        <is>
          <t>nDx</t>
        </is>
      </c>
      <c r="E26" s="112" t="inlineStr">
        <is>
          <t>nDxi</t>
        </is>
      </c>
      <c r="F26" s="111" t="n"/>
      <c r="G26" s="110" t="n"/>
      <c r="H26" s="110" t="n"/>
      <c r="I26" s="110" t="inlineStr">
        <is>
          <t>nqx</t>
        </is>
      </c>
      <c r="J26" s="110" t="n"/>
      <c r="K26" s="109" t="inlineStr">
        <is>
          <t>e0</t>
        </is>
      </c>
      <c r="L26" s="110" t="n"/>
      <c r="M26" s="110" t="inlineStr">
        <is>
          <t>nqx_i</t>
        </is>
      </c>
      <c r="N26" s="110" t="n"/>
      <c r="O26" s="110" t="inlineStr">
        <is>
          <t>ndx_i</t>
        </is>
      </c>
      <c r="P26" s="110" t="n"/>
      <c r="Q26" s="110" t="inlineStr">
        <is>
          <t>L</t>
        </is>
      </c>
      <c r="R26" s="110" t="inlineStr">
        <is>
          <t>T</t>
        </is>
      </c>
      <c r="S26" s="109" t="inlineStr">
        <is>
          <t>e0_i</t>
        </is>
      </c>
      <c r="T26" s="108" t="inlineStr">
        <is>
          <t>diff</t>
        </is>
      </c>
      <c r="AA26" s="84" t="inlineStr">
        <is>
          <t>Hombres</t>
        </is>
      </c>
      <c r="AB26" s="84" t="inlineStr">
        <is>
          <t>Mujeres</t>
        </is>
      </c>
    </row>
    <row r="27" ht="14.4" customHeight="1">
      <c r="B27" s="102" t="n">
        <v>0</v>
      </c>
      <c r="C27" s="101" t="n">
        <v>1</v>
      </c>
      <c r="D27" s="124">
        <f>'Defunciones generales'!D78</f>
        <v/>
      </c>
      <c r="E27" s="124">
        <f>Homicidios!D1218</f>
        <v/>
      </c>
      <c r="F27" s="96">
        <f>(D27-E27)/D27</f>
        <v/>
      </c>
      <c r="G27" s="126">
        <f>LT!H78</f>
        <v/>
      </c>
      <c r="H27" s="127">
        <f>1-LT!F78</f>
        <v/>
      </c>
      <c r="I27" s="100">
        <f>1-H27</f>
        <v/>
      </c>
      <c r="J27" s="130">
        <f>LT!G78</f>
        <v/>
      </c>
      <c r="K27" s="136">
        <f>LT!L78</f>
        <v/>
      </c>
      <c r="L27" s="100">
        <f>H27^F27</f>
        <v/>
      </c>
      <c r="M27" s="220">
        <f>1-L27</f>
        <v/>
      </c>
      <c r="N27" s="97" t="n">
        <v>100000</v>
      </c>
      <c r="O27" s="221">
        <f>N27*M27</f>
        <v/>
      </c>
      <c r="P27" s="221">
        <f>C27+(F27*(I27/M27)*(J27-C27))</f>
        <v/>
      </c>
      <c r="Q27" s="97">
        <f>(C27*N28)+(P27*O27)</f>
        <v/>
      </c>
      <c r="R27" s="97">
        <f>R28+Q27</f>
        <v/>
      </c>
      <c r="S27" s="137">
        <f>R27/N27</f>
        <v/>
      </c>
      <c r="T27" s="95">
        <f>S27-K27</f>
        <v/>
      </c>
      <c r="Z27" s="141" t="inlineStr">
        <is>
          <t>Sin homicidios</t>
        </is>
      </c>
      <c r="AA27" s="86">
        <f>S4</f>
        <v/>
      </c>
      <c r="AB27" s="86">
        <f>S27</f>
        <v/>
      </c>
    </row>
    <row r="28" ht="14.4" customHeight="1">
      <c r="B28" s="102" t="n">
        <v>1</v>
      </c>
      <c r="C28" s="101" t="n">
        <v>4</v>
      </c>
      <c r="D28" s="124">
        <f>'Defunciones generales'!D79</f>
        <v/>
      </c>
      <c r="E28" s="124">
        <f>Homicidios!D1219</f>
        <v/>
      </c>
      <c r="F28" s="96">
        <f>(D28-E28)/D28</f>
        <v/>
      </c>
      <c r="G28" s="126">
        <f>LT!H79</f>
        <v/>
      </c>
      <c r="H28" s="127">
        <f>1-LT!F79</f>
        <v/>
      </c>
      <c r="I28" s="100">
        <f>1-H28</f>
        <v/>
      </c>
      <c r="J28" s="130">
        <f>LT!G79</f>
        <v/>
      </c>
      <c r="K28" s="131">
        <f>LT!L79</f>
        <v/>
      </c>
      <c r="L28" s="100">
        <f>H28^F28</f>
        <v/>
      </c>
      <c r="M28" s="220">
        <f>1-L28</f>
        <v/>
      </c>
      <c r="N28" s="97">
        <f>N27*L27</f>
        <v/>
      </c>
      <c r="O28" s="221">
        <f>N28*M28</f>
        <v/>
      </c>
      <c r="P28" s="221">
        <f>C28+(F28*(I28/M28)*(J28-C28))</f>
        <v/>
      </c>
      <c r="Q28" s="97">
        <f>(C28*N29)+(P28*O28)</f>
        <v/>
      </c>
      <c r="R28" s="97">
        <f>R29+Q28</f>
        <v/>
      </c>
      <c r="S28" s="96">
        <f>R28/N28</f>
        <v/>
      </c>
      <c r="T28" s="95">
        <f>S28-K28</f>
        <v/>
      </c>
      <c r="U28" s="107" t="n"/>
      <c r="V28" s="222" t="inlineStr">
        <is>
          <t>Número de años que se espera 
que viva una mujer de 0 años 
hasta llegar a los 85 años.</t>
        </is>
      </c>
      <c r="W28" s="223" t="n"/>
      <c r="Z28" s="141" t="inlineStr">
        <is>
          <t>Con homicidios</t>
        </is>
      </c>
      <c r="AA28" s="86">
        <f>K4</f>
        <v/>
      </c>
      <c r="AB28" s="86">
        <f>K27</f>
        <v/>
      </c>
    </row>
    <row r="29" ht="14.4" customHeight="1">
      <c r="B29" s="102" t="n">
        <v>5</v>
      </c>
      <c r="C29" s="101" t="n">
        <v>5</v>
      </c>
      <c r="D29" s="124">
        <f>'Defunciones generales'!D80</f>
        <v/>
      </c>
      <c r="E29" s="124">
        <f>Homicidios!D1220</f>
        <v/>
      </c>
      <c r="F29" s="96">
        <f>(D29-E29)/D29</f>
        <v/>
      </c>
      <c r="G29" s="126">
        <f>LT!H80</f>
        <v/>
      </c>
      <c r="H29" s="127">
        <f>1-LT!F80</f>
        <v/>
      </c>
      <c r="I29" s="100">
        <f>1-H29</f>
        <v/>
      </c>
      <c r="J29" s="130">
        <f>LT!G80</f>
        <v/>
      </c>
      <c r="K29" s="131">
        <f>LT!L80</f>
        <v/>
      </c>
      <c r="L29" s="100">
        <f>H29^F29</f>
        <v/>
      </c>
      <c r="M29" s="220">
        <f>1-L29</f>
        <v/>
      </c>
      <c r="N29" s="97">
        <f>N28*L28</f>
        <v/>
      </c>
      <c r="O29" s="221">
        <f>N29*M29</f>
        <v/>
      </c>
      <c r="P29" s="221">
        <f>C29+(F29*(I29/M29)*(J29-C29))</f>
        <v/>
      </c>
      <c r="Q29" s="97">
        <f>(C29*N30)+(P29*O29)</f>
        <v/>
      </c>
      <c r="R29" s="97">
        <f>R30+Q29</f>
        <v/>
      </c>
      <c r="S29" s="96">
        <f>R29/N29</f>
        <v/>
      </c>
      <c r="T29" s="95">
        <f>S29-K29</f>
        <v/>
      </c>
      <c r="U29" s="107" t="n"/>
      <c r="V29" s="224" t="n"/>
      <c r="W29" s="225" t="n"/>
      <c r="AA29" s="85">
        <f>AA27-AA28</f>
        <v/>
      </c>
      <c r="AB29" s="85">
        <f>AB27-AB28</f>
        <v/>
      </c>
    </row>
    <row r="30" ht="14.4" customHeight="1">
      <c r="B30" s="102" t="n">
        <v>10</v>
      </c>
      <c r="C30" s="101" t="n">
        <v>5</v>
      </c>
      <c r="D30" s="124">
        <f>'Defunciones generales'!D81</f>
        <v/>
      </c>
      <c r="E30" s="124">
        <f>Homicidios!D1221</f>
        <v/>
      </c>
      <c r="F30" s="96">
        <f>(D30-E30)/D30</f>
        <v/>
      </c>
      <c r="G30" s="126">
        <f>LT!H81</f>
        <v/>
      </c>
      <c r="H30" s="127">
        <f>1-LT!F81</f>
        <v/>
      </c>
      <c r="I30" s="100">
        <f>1-H30</f>
        <v/>
      </c>
      <c r="J30" s="130">
        <f>LT!G81</f>
        <v/>
      </c>
      <c r="K30" s="131">
        <f>LT!L81</f>
        <v/>
      </c>
      <c r="L30" s="100">
        <f>H30^F30</f>
        <v/>
      </c>
      <c r="M30" s="220">
        <f>1-L30</f>
        <v/>
      </c>
      <c r="N30" s="97">
        <f>N29*L29</f>
        <v/>
      </c>
      <c r="O30" s="221">
        <f>N30*M30</f>
        <v/>
      </c>
      <c r="P30" s="100">
        <f>(((-5/24)*O29)+((2.5)*O30)+((5/24)*O31))/O30</f>
        <v/>
      </c>
      <c r="Q30" s="97">
        <f>(C30*N31)+(P30*O30)</f>
        <v/>
      </c>
      <c r="R30" s="97">
        <f>R31+Q30</f>
        <v/>
      </c>
      <c r="S30" s="96">
        <f>R30/N30</f>
        <v/>
      </c>
      <c r="T30" s="95">
        <f>S30-K30</f>
        <v/>
      </c>
      <c r="U30" s="107" t="n"/>
      <c r="V30" s="226" t="n"/>
      <c r="W30" s="227" t="n"/>
      <c r="AA30">
        <f>AA29*12</f>
        <v/>
      </c>
      <c r="AB30">
        <f>AB29*12</f>
        <v/>
      </c>
    </row>
    <row r="31" ht="14.4" customHeight="1">
      <c r="B31" s="102" t="n">
        <v>15</v>
      </c>
      <c r="C31" s="101" t="n">
        <v>5</v>
      </c>
      <c r="D31" s="124">
        <f>'Defunciones generales'!D82</f>
        <v/>
      </c>
      <c r="E31" s="124">
        <f>Homicidios!D1222</f>
        <v/>
      </c>
      <c r="F31" s="96">
        <f>(D31-E31)/D31</f>
        <v/>
      </c>
      <c r="G31" s="126">
        <f>LT!H82</f>
        <v/>
      </c>
      <c r="H31" s="127">
        <f>1-LT!F82</f>
        <v/>
      </c>
      <c r="I31" s="100">
        <f>1-H31</f>
        <v/>
      </c>
      <c r="J31" s="130">
        <f>LT!G82</f>
        <v/>
      </c>
      <c r="K31" s="131">
        <f>LT!L82</f>
        <v/>
      </c>
      <c r="L31" s="100">
        <f>H31^F31</f>
        <v/>
      </c>
      <c r="M31" s="220">
        <f>1-L31</f>
        <v/>
      </c>
      <c r="N31" s="97">
        <f>N30*L30</f>
        <v/>
      </c>
      <c r="O31" s="221">
        <f>N31*M31</f>
        <v/>
      </c>
      <c r="P31" s="100">
        <f>(((-5/24)*O30)+((2.5)*O31)+((5/24)*O32))/O31</f>
        <v/>
      </c>
      <c r="Q31" s="97">
        <f>(C31*N32)+(P31*O31)</f>
        <v/>
      </c>
      <c r="R31" s="97">
        <f>R32+Q31</f>
        <v/>
      </c>
      <c r="S31" s="96">
        <f>R31/N31</f>
        <v/>
      </c>
      <c r="T31" s="95">
        <f>S31-K31</f>
        <v/>
      </c>
      <c r="U31" s="84" t="n"/>
      <c r="V31" s="106" t="inlineStr">
        <is>
          <t>Sin COVID</t>
        </is>
      </c>
      <c r="W31" s="106" t="inlineStr">
        <is>
          <t>Con COVID</t>
        </is>
      </c>
    </row>
    <row r="32" ht="14.4" customHeight="1">
      <c r="B32" s="102" t="n">
        <v>20</v>
      </c>
      <c r="C32" s="101" t="n">
        <v>5</v>
      </c>
      <c r="D32" s="124">
        <f>'Defunciones generales'!D83</f>
        <v/>
      </c>
      <c r="E32" s="124">
        <f>Homicidios!D1223</f>
        <v/>
      </c>
      <c r="F32" s="96">
        <f>(D32-E32)/D32</f>
        <v/>
      </c>
      <c r="G32" s="126">
        <f>LT!H83</f>
        <v/>
      </c>
      <c r="H32" s="127">
        <f>1-LT!F83</f>
        <v/>
      </c>
      <c r="I32" s="100">
        <f>1-H32</f>
        <v/>
      </c>
      <c r="J32" s="130">
        <f>LT!G83</f>
        <v/>
      </c>
      <c r="K32" s="131">
        <f>LT!L83</f>
        <v/>
      </c>
      <c r="L32" s="100">
        <f>H32^F32</f>
        <v/>
      </c>
      <c r="M32" s="220">
        <f>1-L32</f>
        <v/>
      </c>
      <c r="N32" s="97">
        <f>N31*L31</f>
        <v/>
      </c>
      <c r="O32" s="221">
        <f>N32*M32</f>
        <v/>
      </c>
      <c r="P32" s="100">
        <f>(((-5/24)*O31)+((2.5)*O32)+((5/24)*O33))/O32</f>
        <v/>
      </c>
      <c r="Q32" s="97">
        <f>(C32*N33)+(P32*O32)</f>
        <v/>
      </c>
      <c r="R32" s="97">
        <f>R33+Q32</f>
        <v/>
      </c>
      <c r="S32" s="96">
        <f>R32/N32</f>
        <v/>
      </c>
      <c r="T32" s="95">
        <f>S32-K32</f>
        <v/>
      </c>
      <c r="U32" s="105" t="n"/>
      <c r="V32" s="103">
        <f>([1]TV!M29-[1]TV!M47)/[1]TV!J29</f>
        <v/>
      </c>
      <c r="W32" s="103">
        <f>(R27-R45)/N27</f>
        <v/>
      </c>
    </row>
    <row r="33" ht="14.4" customHeight="1">
      <c r="B33" s="102" t="n">
        <v>25</v>
      </c>
      <c r="C33" s="101" t="n">
        <v>5</v>
      </c>
      <c r="D33" s="124">
        <f>'Defunciones generales'!D84</f>
        <v/>
      </c>
      <c r="E33" s="124">
        <f>Homicidios!D1224</f>
        <v/>
      </c>
      <c r="F33" s="96">
        <f>(D33-E33)/D33</f>
        <v/>
      </c>
      <c r="G33" s="126">
        <f>LT!H84</f>
        <v/>
      </c>
      <c r="H33" s="127">
        <f>1-LT!F84</f>
        <v/>
      </c>
      <c r="I33" s="100">
        <f>1-H33</f>
        <v/>
      </c>
      <c r="J33" s="130">
        <f>LT!G84</f>
        <v/>
      </c>
      <c r="K33" s="131">
        <f>LT!L84</f>
        <v/>
      </c>
      <c r="L33" s="100">
        <f>H33^F33</f>
        <v/>
      </c>
      <c r="M33" s="220">
        <f>1-L33</f>
        <v/>
      </c>
      <c r="N33" s="97">
        <f>N32*L32</f>
        <v/>
      </c>
      <c r="O33" s="221">
        <f>N33*M33</f>
        <v/>
      </c>
      <c r="P33" s="100">
        <f>(((-5/24)*O32)+((2.5)*O33)+((5/24)*O34))/O33</f>
        <v/>
      </c>
      <c r="Q33" s="97">
        <f>(C33*N34)+(P33*O33)</f>
        <v/>
      </c>
      <c r="R33" s="97">
        <f>R34+Q33</f>
        <v/>
      </c>
      <c r="S33" s="96">
        <f>R33/N33</f>
        <v/>
      </c>
      <c r="T33" s="95">
        <f>S33-K33</f>
        <v/>
      </c>
      <c r="V33" s="104" t="inlineStr">
        <is>
          <t>Diff</t>
        </is>
      </c>
      <c r="W33" s="103">
        <f>W32-V32</f>
        <v/>
      </c>
    </row>
    <row r="34" ht="14.4" customHeight="1">
      <c r="B34" s="102" t="n">
        <v>30</v>
      </c>
      <c r="C34" s="101" t="n">
        <v>5</v>
      </c>
      <c r="D34" s="124">
        <f>'Defunciones generales'!D85</f>
        <v/>
      </c>
      <c r="E34" s="124">
        <f>Homicidios!D1225</f>
        <v/>
      </c>
      <c r="F34" s="96">
        <f>(D34-E34)/D34</f>
        <v/>
      </c>
      <c r="G34" s="126">
        <f>LT!H85</f>
        <v/>
      </c>
      <c r="H34" s="127">
        <f>1-LT!F85</f>
        <v/>
      </c>
      <c r="I34" s="100">
        <f>1-H34</f>
        <v/>
      </c>
      <c r="J34" s="130">
        <f>LT!G85</f>
        <v/>
      </c>
      <c r="K34" s="131">
        <f>LT!L85</f>
        <v/>
      </c>
      <c r="L34" s="100">
        <f>H34^F34</f>
        <v/>
      </c>
      <c r="M34" s="220">
        <f>1-L34</f>
        <v/>
      </c>
      <c r="N34" s="97">
        <f>N33*L33</f>
        <v/>
      </c>
      <c r="O34" s="221">
        <f>N34*M34</f>
        <v/>
      </c>
      <c r="P34" s="100">
        <f>(((-5/24)*O33)+((2.5)*O34)+((5/24)*O35))/O34</f>
        <v/>
      </c>
      <c r="Q34" s="97">
        <f>(C34*N35)+(P34*O34)</f>
        <v/>
      </c>
      <c r="R34" s="97">
        <f>R35+Q34</f>
        <v/>
      </c>
      <c r="S34" s="96">
        <f>R34/N34</f>
        <v/>
      </c>
      <c r="T34" s="95">
        <f>S34-K34</f>
        <v/>
      </c>
    </row>
    <row r="35" ht="14.4" customHeight="1">
      <c r="B35" s="102" t="n">
        <v>35</v>
      </c>
      <c r="C35" s="101" t="n">
        <v>5</v>
      </c>
      <c r="D35" s="124">
        <f>'Defunciones generales'!D86</f>
        <v/>
      </c>
      <c r="E35" s="124">
        <f>Homicidios!D1226</f>
        <v/>
      </c>
      <c r="F35" s="96">
        <f>(D35-E35)/D35</f>
        <v/>
      </c>
      <c r="G35" s="126">
        <f>LT!H86</f>
        <v/>
      </c>
      <c r="H35" s="127">
        <f>1-LT!F86</f>
        <v/>
      </c>
      <c r="I35" s="100">
        <f>1-H35</f>
        <v/>
      </c>
      <c r="J35" s="130">
        <f>LT!G86</f>
        <v/>
      </c>
      <c r="K35" s="131">
        <f>LT!L86</f>
        <v/>
      </c>
      <c r="L35" s="100">
        <f>H35^F35</f>
        <v/>
      </c>
      <c r="M35" s="220">
        <f>1-L35</f>
        <v/>
      </c>
      <c r="N35" s="97">
        <f>N34*L34</f>
        <v/>
      </c>
      <c r="O35" s="221">
        <f>N35*M35</f>
        <v/>
      </c>
      <c r="P35" s="100">
        <f>(((-5/24)*O34)+((2.5)*O35)+((5/24)*O36))/O35</f>
        <v/>
      </c>
      <c r="Q35" s="97">
        <f>(C35*N36)+(P35*O35)</f>
        <v/>
      </c>
      <c r="R35" s="97">
        <f>R36+Q35</f>
        <v/>
      </c>
      <c r="S35" s="96">
        <f>R35/N35</f>
        <v/>
      </c>
      <c r="T35" s="95">
        <f>S35-K35</f>
        <v/>
      </c>
    </row>
    <row r="36" ht="14.4" customHeight="1">
      <c r="B36" s="102" t="n">
        <v>40</v>
      </c>
      <c r="C36" s="101" t="n">
        <v>5</v>
      </c>
      <c r="D36" s="124">
        <f>'Defunciones generales'!D87</f>
        <v/>
      </c>
      <c r="E36" s="124">
        <f>Homicidios!D1227</f>
        <v/>
      </c>
      <c r="F36" s="96">
        <f>(D36-E36)/D36</f>
        <v/>
      </c>
      <c r="G36" s="126">
        <f>LT!H87</f>
        <v/>
      </c>
      <c r="H36" s="127">
        <f>1-LT!F87</f>
        <v/>
      </c>
      <c r="I36" s="100">
        <f>1-H36</f>
        <v/>
      </c>
      <c r="J36" s="130">
        <f>LT!G87</f>
        <v/>
      </c>
      <c r="K36" s="131">
        <f>LT!L87</f>
        <v/>
      </c>
      <c r="L36" s="100">
        <f>H36^F36</f>
        <v/>
      </c>
      <c r="M36" s="220">
        <f>1-L36</f>
        <v/>
      </c>
      <c r="N36" s="97">
        <f>N35*L35</f>
        <v/>
      </c>
      <c r="O36" s="221">
        <f>N36*M36</f>
        <v/>
      </c>
      <c r="P36" s="100">
        <f>(((-5/24)*O35)+((2.5)*O36)+((5/24)*O37))/O36</f>
        <v/>
      </c>
      <c r="Q36" s="97">
        <f>(C36*N37)+(P36*O36)</f>
        <v/>
      </c>
      <c r="R36" s="97">
        <f>R37+Q36</f>
        <v/>
      </c>
      <c r="S36" s="96">
        <f>R36/N36</f>
        <v/>
      </c>
      <c r="T36" s="95">
        <f>S36-K36</f>
        <v/>
      </c>
    </row>
    <row r="37" ht="14.4" customHeight="1">
      <c r="B37" s="102" t="n">
        <v>45</v>
      </c>
      <c r="C37" s="101" t="n">
        <v>5</v>
      </c>
      <c r="D37" s="124">
        <f>'Defunciones generales'!D88</f>
        <v/>
      </c>
      <c r="E37" s="124">
        <f>Homicidios!D1228</f>
        <v/>
      </c>
      <c r="F37" s="96">
        <f>(D37-E37)/D37</f>
        <v/>
      </c>
      <c r="G37" s="126">
        <f>LT!H88</f>
        <v/>
      </c>
      <c r="H37" s="127">
        <f>1-LT!F88</f>
        <v/>
      </c>
      <c r="I37" s="100">
        <f>1-H37</f>
        <v/>
      </c>
      <c r="J37" s="130">
        <f>LT!G88</f>
        <v/>
      </c>
      <c r="K37" s="131">
        <f>LT!L88</f>
        <v/>
      </c>
      <c r="L37" s="100">
        <f>H37^F37</f>
        <v/>
      </c>
      <c r="M37" s="220">
        <f>1-L37</f>
        <v/>
      </c>
      <c r="N37" s="97">
        <f>N36*L36</f>
        <v/>
      </c>
      <c r="O37" s="221">
        <f>N37*M37</f>
        <v/>
      </c>
      <c r="P37" s="100">
        <f>(((-5/24)*O36)+((2.5)*O37)+((5/24)*O38))/O37</f>
        <v/>
      </c>
      <c r="Q37" s="97">
        <f>(C37*N38)+(P37*O37)</f>
        <v/>
      </c>
      <c r="R37" s="97">
        <f>R38+Q37</f>
        <v/>
      </c>
      <c r="S37" s="96">
        <f>R37/N37</f>
        <v/>
      </c>
      <c r="T37" s="95">
        <f>S37-K37</f>
        <v/>
      </c>
    </row>
    <row r="38" ht="14.4" customHeight="1">
      <c r="B38" s="102" t="n">
        <v>50</v>
      </c>
      <c r="C38" s="101" t="n">
        <v>5</v>
      </c>
      <c r="D38" s="124">
        <f>'Defunciones generales'!D89</f>
        <v/>
      </c>
      <c r="E38" s="124">
        <f>Homicidios!D1229</f>
        <v/>
      </c>
      <c r="F38" s="96">
        <f>(D38-E38)/D38</f>
        <v/>
      </c>
      <c r="G38" s="126">
        <f>LT!H89</f>
        <v/>
      </c>
      <c r="H38" s="127">
        <f>1-LT!F89</f>
        <v/>
      </c>
      <c r="I38" s="100">
        <f>1-H38</f>
        <v/>
      </c>
      <c r="J38" s="130">
        <f>LT!G89</f>
        <v/>
      </c>
      <c r="K38" s="131">
        <f>LT!L89</f>
        <v/>
      </c>
      <c r="L38" s="100">
        <f>H38^F38</f>
        <v/>
      </c>
      <c r="M38" s="220">
        <f>1-L38</f>
        <v/>
      </c>
      <c r="N38" s="97">
        <f>N37*L37</f>
        <v/>
      </c>
      <c r="O38" s="221">
        <f>N38*M38</f>
        <v/>
      </c>
      <c r="P38" s="100">
        <f>(((-5/24)*O37)+((2.5)*O38)+((5/24)*O39))/O38</f>
        <v/>
      </c>
      <c r="Q38" s="97">
        <f>(C38*N39)+(P38*O38)</f>
        <v/>
      </c>
      <c r="R38" s="97">
        <f>R39+Q38</f>
        <v/>
      </c>
      <c r="S38" s="96">
        <f>R38/N38</f>
        <v/>
      </c>
      <c r="T38" s="95">
        <f>S38-K38</f>
        <v/>
      </c>
    </row>
    <row r="39" ht="14.4" customHeight="1">
      <c r="B39" s="102" t="n">
        <v>55</v>
      </c>
      <c r="C39" s="101" t="n">
        <v>5</v>
      </c>
      <c r="D39" s="124">
        <f>'Defunciones generales'!D90</f>
        <v/>
      </c>
      <c r="E39" s="124">
        <f>Homicidios!D1230</f>
        <v/>
      </c>
      <c r="F39" s="96">
        <f>(D39-E39)/D39</f>
        <v/>
      </c>
      <c r="G39" s="126">
        <f>LT!H90</f>
        <v/>
      </c>
      <c r="H39" s="127">
        <f>1-LT!F90</f>
        <v/>
      </c>
      <c r="I39" s="100">
        <f>1-H39</f>
        <v/>
      </c>
      <c r="J39" s="130">
        <f>LT!G90</f>
        <v/>
      </c>
      <c r="K39" s="131">
        <f>LT!L90</f>
        <v/>
      </c>
      <c r="L39" s="100">
        <f>H39^F39</f>
        <v/>
      </c>
      <c r="M39" s="220">
        <f>1-L39</f>
        <v/>
      </c>
      <c r="N39" s="97">
        <f>N38*L38</f>
        <v/>
      </c>
      <c r="O39" s="221">
        <f>N39*M39</f>
        <v/>
      </c>
      <c r="P39" s="100">
        <f>(((-5/24)*O38)+((2.5)*O39)+((5/24)*O40))/O39</f>
        <v/>
      </c>
      <c r="Q39" s="97">
        <f>(C39*N40)+(P39*O39)</f>
        <v/>
      </c>
      <c r="R39" s="97">
        <f>R40+Q39</f>
        <v/>
      </c>
      <c r="S39" s="96">
        <f>R39/N39</f>
        <v/>
      </c>
      <c r="T39" s="95">
        <f>S39-K39</f>
        <v/>
      </c>
    </row>
    <row r="40" ht="14.4" customHeight="1">
      <c r="B40" s="102" t="n">
        <v>60</v>
      </c>
      <c r="C40" s="101" t="n">
        <v>5</v>
      </c>
      <c r="D40" s="124">
        <f>'Defunciones generales'!D91</f>
        <v/>
      </c>
      <c r="E40" s="124">
        <f>Homicidios!D1231</f>
        <v/>
      </c>
      <c r="F40" s="96">
        <f>(D40-E40)/D40</f>
        <v/>
      </c>
      <c r="G40" s="126">
        <f>LT!H91</f>
        <v/>
      </c>
      <c r="H40" s="127">
        <f>1-LT!F91</f>
        <v/>
      </c>
      <c r="I40" s="100">
        <f>1-H40</f>
        <v/>
      </c>
      <c r="J40" s="130">
        <f>LT!G91</f>
        <v/>
      </c>
      <c r="K40" s="131">
        <f>LT!L91</f>
        <v/>
      </c>
      <c r="L40" s="100">
        <f>H40^F40</f>
        <v/>
      </c>
      <c r="M40" s="220">
        <f>1-L40</f>
        <v/>
      </c>
      <c r="N40" s="97">
        <f>N39*L39</f>
        <v/>
      </c>
      <c r="O40" s="221">
        <f>N40*M40</f>
        <v/>
      </c>
      <c r="P40" s="100">
        <f>(((-5/24)*O39)+((2.5)*O40)+((5/24)*O41))/O40</f>
        <v/>
      </c>
      <c r="Q40" s="97">
        <f>(C40*N41)+(P40*O40)</f>
        <v/>
      </c>
      <c r="R40" s="97">
        <f>R41+Q40</f>
        <v/>
      </c>
      <c r="S40" s="96">
        <f>R40/N40</f>
        <v/>
      </c>
      <c r="T40" s="95">
        <f>S40-K40</f>
        <v/>
      </c>
    </row>
    <row r="41" ht="14.4" customHeight="1">
      <c r="B41" s="102" t="n">
        <v>65</v>
      </c>
      <c r="C41" s="101" t="n">
        <v>5</v>
      </c>
      <c r="D41" s="124">
        <f>'Defunciones generales'!D92</f>
        <v/>
      </c>
      <c r="E41" s="124">
        <f>Homicidios!D1232</f>
        <v/>
      </c>
      <c r="F41" s="96">
        <f>(D41-E41)/D41</f>
        <v/>
      </c>
      <c r="G41" s="126">
        <f>LT!H92</f>
        <v/>
      </c>
      <c r="H41" s="127">
        <f>1-LT!F92</f>
        <v/>
      </c>
      <c r="I41" s="100">
        <f>1-H41</f>
        <v/>
      </c>
      <c r="J41" s="130">
        <f>LT!G92</f>
        <v/>
      </c>
      <c r="K41" s="131">
        <f>LT!L92</f>
        <v/>
      </c>
      <c r="L41" s="100">
        <f>H41^F41</f>
        <v/>
      </c>
      <c r="M41" s="220">
        <f>1-L41</f>
        <v/>
      </c>
      <c r="N41" s="97">
        <f>N40*L40</f>
        <v/>
      </c>
      <c r="O41" s="221">
        <f>N41*M41</f>
        <v/>
      </c>
      <c r="P41" s="100">
        <f>(((-5/24)*O40)+((2.5)*O41)+((5/24)*O42))/O41</f>
        <v/>
      </c>
      <c r="Q41" s="97">
        <f>(C41*N42)+(P41*O41)</f>
        <v/>
      </c>
      <c r="R41" s="97">
        <f>R42+Q41</f>
        <v/>
      </c>
      <c r="S41" s="96">
        <f>R41/N41</f>
        <v/>
      </c>
      <c r="T41" s="95">
        <f>S41-K41</f>
        <v/>
      </c>
    </row>
    <row r="42" ht="14.4" customHeight="1">
      <c r="B42" s="102" t="n">
        <v>70</v>
      </c>
      <c r="C42" s="101" t="n">
        <v>5</v>
      </c>
      <c r="D42" s="124">
        <f>'Defunciones generales'!D93</f>
        <v/>
      </c>
      <c r="E42" s="124">
        <f>Homicidios!D1233</f>
        <v/>
      </c>
      <c r="F42" s="96">
        <f>(D42-E42)/D42</f>
        <v/>
      </c>
      <c r="G42" s="126">
        <f>LT!H93</f>
        <v/>
      </c>
      <c r="H42" s="127">
        <f>1-LT!F93</f>
        <v/>
      </c>
      <c r="I42" s="100">
        <f>1-H42</f>
        <v/>
      </c>
      <c r="J42" s="130">
        <f>LT!G93</f>
        <v/>
      </c>
      <c r="K42" s="131">
        <f>LT!L93</f>
        <v/>
      </c>
      <c r="L42" s="100">
        <f>H42^F42</f>
        <v/>
      </c>
      <c r="M42" s="220">
        <f>1-L42</f>
        <v/>
      </c>
      <c r="N42" s="97">
        <f>N41*L41</f>
        <v/>
      </c>
      <c r="O42" s="221">
        <f>N42*M42</f>
        <v/>
      </c>
      <c r="P42" s="100">
        <f>(((-5/24)*O41)+((2.5)*O42)+((5/24)*O43))/O42</f>
        <v/>
      </c>
      <c r="Q42" s="97">
        <f>(C42*N43)+(P42*O42)</f>
        <v/>
      </c>
      <c r="R42" s="97">
        <f>R43+Q42</f>
        <v/>
      </c>
      <c r="S42" s="96">
        <f>R42/N42</f>
        <v/>
      </c>
      <c r="T42" s="95">
        <f>S42-K42</f>
        <v/>
      </c>
    </row>
    <row r="43" ht="14.4" customHeight="1">
      <c r="B43" s="102" t="n">
        <v>75</v>
      </c>
      <c r="C43" s="101" t="n">
        <v>5</v>
      </c>
      <c r="D43" s="124">
        <f>'Defunciones generales'!D94</f>
        <v/>
      </c>
      <c r="E43" s="124">
        <f>Homicidios!D1234</f>
        <v/>
      </c>
      <c r="F43" s="96">
        <f>(D43-E43)/D43</f>
        <v/>
      </c>
      <c r="G43" s="126">
        <f>LT!H94</f>
        <v/>
      </c>
      <c r="H43" s="127">
        <f>1-LT!F94</f>
        <v/>
      </c>
      <c r="I43" s="100">
        <f>1-H43</f>
        <v/>
      </c>
      <c r="J43" s="130">
        <f>LT!G94</f>
        <v/>
      </c>
      <c r="K43" s="131">
        <f>LT!L94</f>
        <v/>
      </c>
      <c r="L43" s="100">
        <f>H43^F43</f>
        <v/>
      </c>
      <c r="M43" s="220">
        <f>1-L43</f>
        <v/>
      </c>
      <c r="N43" s="97">
        <f>N42*L42</f>
        <v/>
      </c>
      <c r="O43" s="221">
        <f>N43*M43</f>
        <v/>
      </c>
      <c r="P43" s="100">
        <f>(((-5/24)*O42)+((2.5)*O43)+((5/24)*O44))/O43</f>
        <v/>
      </c>
      <c r="Q43" s="97">
        <f>(C43*N44)+(P43*O43)</f>
        <v/>
      </c>
      <c r="R43" s="97">
        <f>R44+Q43</f>
        <v/>
      </c>
      <c r="S43" s="96">
        <f>R43/N43</f>
        <v/>
      </c>
      <c r="T43" s="95">
        <f>S43-K43</f>
        <v/>
      </c>
    </row>
    <row r="44" ht="14.4" customHeight="1">
      <c r="B44" s="102" t="n">
        <v>80</v>
      </c>
      <c r="C44" s="101" t="n">
        <v>5</v>
      </c>
      <c r="D44" s="124">
        <f>'Defunciones generales'!D95</f>
        <v/>
      </c>
      <c r="E44" s="124">
        <f>Homicidios!D1235</f>
        <v/>
      </c>
      <c r="F44" s="96">
        <f>(D44-E44)/D44</f>
        <v/>
      </c>
      <c r="G44" s="126">
        <f>LT!H95</f>
        <v/>
      </c>
      <c r="H44" s="127">
        <f>1-LT!F95</f>
        <v/>
      </c>
      <c r="I44" s="100">
        <f>1-H44</f>
        <v/>
      </c>
      <c r="J44" s="130">
        <f>LT!G95</f>
        <v/>
      </c>
      <c r="K44" s="131">
        <f>LT!L95</f>
        <v/>
      </c>
      <c r="L44" s="100">
        <f>H44^F44</f>
        <v/>
      </c>
      <c r="M44" s="220">
        <f>1-L44</f>
        <v/>
      </c>
      <c r="N44" s="97">
        <f>N43*L43</f>
        <v/>
      </c>
      <c r="O44" s="221">
        <f>N44*M44</f>
        <v/>
      </c>
      <c r="P44" s="221">
        <f>C44+(F44*(I44/M44)*(J44-C44))</f>
        <v/>
      </c>
      <c r="Q44" s="97">
        <f>(C44*N45)+(P44*O44)</f>
        <v/>
      </c>
      <c r="R44" s="97">
        <f>R45+Q44</f>
        <v/>
      </c>
      <c r="S44" s="96">
        <f>R44/N44</f>
        <v/>
      </c>
      <c r="T44" s="95">
        <f>S44-K44</f>
        <v/>
      </c>
    </row>
    <row r="45" ht="14.4" customHeight="1">
      <c r="B45" s="94" t="n">
        <v>85</v>
      </c>
      <c r="C45" s="144" t="n">
        <v>5</v>
      </c>
      <c r="D45" s="125">
        <f>'Defunciones generales'!D96</f>
        <v/>
      </c>
      <c r="E45" s="125">
        <f>Homicidios!D1236</f>
        <v/>
      </c>
      <c r="F45" s="88">
        <f>(D45-E45)/D45</f>
        <v/>
      </c>
      <c r="G45" s="128">
        <f>LT!H96</f>
        <v/>
      </c>
      <c r="H45" s="129">
        <f>1-LT!F96</f>
        <v/>
      </c>
      <c r="I45" s="92">
        <f>1-H45</f>
        <v/>
      </c>
      <c r="J45" s="132">
        <f>LT!G96</f>
        <v/>
      </c>
      <c r="K45" s="133">
        <f>LT!L96</f>
        <v/>
      </c>
      <c r="L45" s="92">
        <f>H45^F45</f>
        <v/>
      </c>
      <c r="M45" s="228">
        <f>1-L45</f>
        <v/>
      </c>
      <c r="N45" s="89">
        <f>N44*L44</f>
        <v/>
      </c>
      <c r="O45" s="229">
        <f>N45*M45</f>
        <v/>
      </c>
      <c r="P45" s="92">
        <f>K45/F45</f>
        <v/>
      </c>
      <c r="Q45" s="133">
        <f>N45/LT!E96</f>
        <v/>
      </c>
      <c r="R45" s="89">
        <f>Q45</f>
        <v/>
      </c>
      <c r="S45" s="88">
        <f>R45/N45</f>
        <v/>
      </c>
      <c r="T45" s="87">
        <f>S45-K45</f>
        <v/>
      </c>
    </row>
  </sheetData>
  <mergeCells count="4">
    <mergeCell ref="V5:W7"/>
    <mergeCell ref="B24:T24"/>
    <mergeCell ref="B2:T2"/>
    <mergeCell ref="V28:W30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topLeftCell="A79" workbookViewId="0">
      <selection activeCell="L78" sqref="L78:L96"/>
    </sheetView>
  </sheetViews>
  <sheetFormatPr baseColWidth="10" defaultRowHeight="14.4"/>
  <sheetData>
    <row r="1">
      <c r="A1" t="inlineStr">
        <is>
          <t>lt_desc</t>
        </is>
      </c>
      <c r="B1" t="inlineStr">
        <is>
          <t>year</t>
        </is>
      </c>
      <c r="C1" t="inlineStr">
        <is>
          <t>sex</t>
        </is>
      </c>
      <c r="D1" t="inlineStr">
        <is>
          <t>age</t>
        </is>
      </c>
      <c r="E1" t="inlineStr">
        <is>
          <t>mx</t>
        </is>
      </c>
      <c r="F1" t="inlineStr">
        <is>
          <t>qx</t>
        </is>
      </c>
      <c r="G1" t="inlineStr">
        <is>
          <t>ax</t>
        </is>
      </c>
      <c r="H1" t="inlineStr">
        <is>
          <t>lx</t>
        </is>
      </c>
      <c r="I1" t="inlineStr">
        <is>
          <t>dx</t>
        </is>
      </c>
      <c r="J1" t="inlineStr">
        <is>
          <t>Lx</t>
        </is>
      </c>
      <c r="K1" t="inlineStr">
        <is>
          <t>Tx</t>
        </is>
      </c>
      <c r="L1" t="inlineStr">
        <is>
          <t>ex</t>
        </is>
      </c>
    </row>
    <row r="2">
      <c r="H2" s="140" t="n"/>
    </row>
    <row r="21">
      <c r="A21" s="138" t="inlineStr">
        <is>
          <t>LT VR/Census, CHIS</t>
        </is>
      </c>
      <c r="B21" s="138" t="n">
        <v>2019</v>
      </c>
      <c r="C21" s="138" t="inlineStr">
        <is>
          <t>m</t>
        </is>
      </c>
      <c r="D21" s="138" t="n">
        <v>0</v>
      </c>
      <c r="E21" s="138" t="n">
        <v>0.0008447</v>
      </c>
      <c r="F21" s="138" t="n">
        <v>0.000844</v>
      </c>
      <c r="G21" s="138" t="n">
        <v>0.0472671</v>
      </c>
      <c r="H21" s="142" t="n">
        <v>100000</v>
      </c>
      <c r="I21" s="138" t="n">
        <v>84.3995</v>
      </c>
      <c r="J21" s="138" t="n">
        <v>99919.59</v>
      </c>
      <c r="K21" s="138" t="n">
        <v>26884586.46</v>
      </c>
      <c r="L21" s="138" t="n">
        <v>268.845865</v>
      </c>
    </row>
    <row r="22">
      <c r="A22" s="138" t="inlineStr">
        <is>
          <t>LT VR/Census, CHIS</t>
        </is>
      </c>
      <c r="B22" s="138" t="n">
        <v>2019</v>
      </c>
      <c r="C22" s="138" t="inlineStr">
        <is>
          <t>m</t>
        </is>
      </c>
      <c r="D22" s="138" t="n">
        <v>1</v>
      </c>
      <c r="E22" s="138" t="n">
        <v>5.71e-05</v>
      </c>
      <c r="F22" s="138" t="n">
        <v>0.0002283</v>
      </c>
      <c r="G22" s="138" t="n">
        <v>1.6486214</v>
      </c>
      <c r="H22" s="138" t="n">
        <v>99915.60000000001</v>
      </c>
      <c r="I22" s="138" t="n">
        <v>22.8137</v>
      </c>
      <c r="J22" s="138" t="n">
        <v>399608.76</v>
      </c>
      <c r="K22" s="138" t="n">
        <v>26784666.87</v>
      </c>
      <c r="L22" s="138" t="n">
        <v>268.072921</v>
      </c>
    </row>
    <row r="23">
      <c r="A23" s="138" t="inlineStr">
        <is>
          <t>LT VR/Census, CHIS</t>
        </is>
      </c>
      <c r="B23" s="138" t="n">
        <v>2019</v>
      </c>
      <c r="C23" s="138" t="inlineStr">
        <is>
          <t>m</t>
        </is>
      </c>
      <c r="D23" s="138" t="n">
        <v>5</v>
      </c>
      <c r="E23" s="138" t="n">
        <v>2.23e-05</v>
      </c>
      <c r="F23" s="138" t="n">
        <v>0.0001113</v>
      </c>
      <c r="G23" s="138" t="n">
        <v>2.5</v>
      </c>
      <c r="H23" s="138" t="n">
        <v>99892.78999999999</v>
      </c>
      <c r="I23" s="138" t="n">
        <v>11.1182</v>
      </c>
      <c r="J23" s="138" t="n">
        <v>499436.14</v>
      </c>
      <c r="K23" s="138" t="n">
        <v>26385058.12</v>
      </c>
      <c r="L23" s="138" t="n">
        <v>264.133767</v>
      </c>
    </row>
    <row r="24">
      <c r="A24" s="138" t="inlineStr">
        <is>
          <t>LT VR/Census, CHIS</t>
        </is>
      </c>
      <c r="B24" s="138" t="n">
        <v>2019</v>
      </c>
      <c r="C24" s="138" t="inlineStr">
        <is>
          <t>m</t>
        </is>
      </c>
      <c r="D24" s="138" t="n">
        <v>10</v>
      </c>
      <c r="E24" s="138" t="n">
        <v>2.37e-05</v>
      </c>
      <c r="F24" s="138" t="n">
        <v>0.0001185</v>
      </c>
      <c r="G24" s="138" t="n">
        <v>2.5</v>
      </c>
      <c r="H24" s="138" t="n">
        <v>99881.67</v>
      </c>
      <c r="I24" s="138" t="n">
        <v>11.8334</v>
      </c>
      <c r="J24" s="138" t="n">
        <v>499378.76</v>
      </c>
      <c r="K24" s="138" t="n">
        <v>25885621.98</v>
      </c>
      <c r="L24" s="138" t="n">
        <v>259.162891</v>
      </c>
    </row>
    <row r="25">
      <c r="A25" s="138" t="inlineStr">
        <is>
          <t>LT VR/Census, CHIS</t>
        </is>
      </c>
      <c r="B25" s="138" t="n">
        <v>2019</v>
      </c>
      <c r="C25" s="138" t="inlineStr">
        <is>
          <t>m</t>
        </is>
      </c>
      <c r="D25" s="138" t="n">
        <v>15</v>
      </c>
      <c r="E25" s="138" t="n">
        <v>4.96e-05</v>
      </c>
      <c r="F25" s="138" t="n">
        <v>0.000248</v>
      </c>
      <c r="G25" s="138" t="n">
        <v>2.5</v>
      </c>
      <c r="H25" s="138" t="n">
        <v>99869.84</v>
      </c>
      <c r="I25" s="138" t="n">
        <v>24.7697</v>
      </c>
      <c r="J25" s="138" t="n">
        <v>499287.25</v>
      </c>
      <c r="K25" s="138" t="n">
        <v>25386243.22</v>
      </c>
      <c r="L25" s="138" t="n">
        <v>254.193303</v>
      </c>
    </row>
    <row r="26">
      <c r="A26" s="138" t="inlineStr">
        <is>
          <t>LT VR/Census, CHIS</t>
        </is>
      </c>
      <c r="B26" s="138" t="n">
        <v>2019</v>
      </c>
      <c r="C26" s="138" t="inlineStr">
        <is>
          <t>m</t>
        </is>
      </c>
      <c r="D26" s="138" t="n">
        <v>20</v>
      </c>
      <c r="E26" s="138" t="n">
        <v>8.4e-05</v>
      </c>
      <c r="F26" s="138" t="n">
        <v>0.0004199</v>
      </c>
      <c r="G26" s="138" t="n">
        <v>2.5</v>
      </c>
      <c r="H26" s="138" t="n">
        <v>99845.07000000001</v>
      </c>
      <c r="I26" s="138" t="n">
        <v>41.924</v>
      </c>
      <c r="J26" s="138" t="n">
        <v>499120.52</v>
      </c>
      <c r="K26" s="138" t="n">
        <v>24886955.97</v>
      </c>
      <c r="L26" s="138" t="n">
        <v>249.255743</v>
      </c>
    </row>
    <row r="27">
      <c r="A27" s="138" t="inlineStr">
        <is>
          <t>LT VR/Census, CHIS</t>
        </is>
      </c>
      <c r="B27" s="138" t="n">
        <v>2019</v>
      </c>
      <c r="C27" s="138" t="inlineStr">
        <is>
          <t>m</t>
        </is>
      </c>
      <c r="D27" s="138" t="n">
        <v>25</v>
      </c>
      <c r="E27" s="138" t="n">
        <v>0.0001042</v>
      </c>
      <c r="F27" s="138" t="n">
        <v>0.0005211</v>
      </c>
      <c r="G27" s="138" t="n">
        <v>2.5</v>
      </c>
      <c r="H27" s="138" t="n">
        <v>99803.14</v>
      </c>
      <c r="I27" s="138" t="n">
        <v>52.005</v>
      </c>
      <c r="J27" s="138" t="n">
        <v>498885.69</v>
      </c>
      <c r="K27" s="138" t="n">
        <v>24387835.45</v>
      </c>
      <c r="L27" s="138" t="n">
        <v>244.359397</v>
      </c>
    </row>
    <row r="28">
      <c r="A28" s="138" t="inlineStr">
        <is>
          <t>LT VR/Census, CHIS</t>
        </is>
      </c>
      <c r="B28" s="138" t="n">
        <v>2019</v>
      </c>
      <c r="C28" s="138" t="inlineStr">
        <is>
          <t>m</t>
        </is>
      </c>
      <c r="D28" s="138" t="n">
        <v>30</v>
      </c>
      <c r="E28" s="138" t="n">
        <v>0.0001133</v>
      </c>
      <c r="F28" s="138" t="n">
        <v>0.0005661</v>
      </c>
      <c r="G28" s="138" t="n">
        <v>2.5</v>
      </c>
      <c r="H28" s="138" t="n">
        <v>99751.14</v>
      </c>
      <c r="I28" s="138" t="n">
        <v>56.4721</v>
      </c>
      <c r="J28" s="138" t="n">
        <v>498614.5</v>
      </c>
      <c r="K28" s="138" t="n">
        <v>23888949.75</v>
      </c>
      <c r="L28" s="138" t="n">
        <v>239.48549</v>
      </c>
    </row>
    <row r="29">
      <c r="A29" s="138" t="inlineStr">
        <is>
          <t>LT VR/Census, CHIS</t>
        </is>
      </c>
      <c r="B29" s="138" t="n">
        <v>2019</v>
      </c>
      <c r="C29" s="138" t="inlineStr">
        <is>
          <t>m</t>
        </is>
      </c>
      <c r="D29" s="138" t="n">
        <v>35</v>
      </c>
      <c r="E29" s="138" t="n">
        <v>0.0001269</v>
      </c>
      <c r="F29" s="138" t="n">
        <v>0.0006345</v>
      </c>
      <c r="G29" s="138" t="n">
        <v>2.5</v>
      </c>
      <c r="H29" s="138" t="n">
        <v>99694.66</v>
      </c>
      <c r="I29" s="138" t="n">
        <v>63.2578</v>
      </c>
      <c r="J29" s="138" t="n">
        <v>498315.18</v>
      </c>
      <c r="K29" s="138" t="n">
        <v>23390335.25</v>
      </c>
      <c r="L29" s="138" t="n">
        <v>234.61973</v>
      </c>
    </row>
    <row r="30">
      <c r="A30" s="138" t="inlineStr">
        <is>
          <t>LT VR/Census, CHIS</t>
        </is>
      </c>
      <c r="B30" s="138" t="n">
        <v>2019</v>
      </c>
      <c r="C30" s="138" t="inlineStr">
        <is>
          <t>m</t>
        </is>
      </c>
      <c r="D30" s="138" t="n">
        <v>40</v>
      </c>
      <c r="E30" s="138" t="n">
        <v>0.0001583</v>
      </c>
      <c r="F30" s="138" t="n">
        <v>0.0007911</v>
      </c>
      <c r="G30" s="138" t="n">
        <v>2.5</v>
      </c>
      <c r="H30" s="138" t="n">
        <v>99631.41</v>
      </c>
      <c r="I30" s="138" t="n">
        <v>78.8168</v>
      </c>
      <c r="J30" s="138" t="n">
        <v>497959.99</v>
      </c>
      <c r="K30" s="138" t="n">
        <v>22892020.08</v>
      </c>
      <c r="L30" s="138" t="n">
        <v>229.767108</v>
      </c>
    </row>
    <row r="31">
      <c r="A31" s="138" t="inlineStr">
        <is>
          <t>LT VR/Census, CHIS</t>
        </is>
      </c>
      <c r="B31" s="138" t="n">
        <v>2019</v>
      </c>
      <c r="C31" s="138" t="inlineStr">
        <is>
          <t>m</t>
        </is>
      </c>
      <c r="D31" s="138" t="n">
        <v>45</v>
      </c>
      <c r="E31" s="138" t="n">
        <v>0.0001839</v>
      </c>
      <c r="F31" s="138" t="n">
        <v>0.0009188999999999999</v>
      </c>
      <c r="G31" s="138" t="n">
        <v>2.5</v>
      </c>
      <c r="H31" s="138" t="n">
        <v>99552.59</v>
      </c>
      <c r="I31" s="138" t="n">
        <v>91.4794</v>
      </c>
      <c r="J31" s="138" t="n">
        <v>497534.25</v>
      </c>
      <c r="K31" s="138" t="n">
        <v>22394060.09</v>
      </c>
      <c r="L31" s="138" t="n">
        <v>224.947037</v>
      </c>
    </row>
    <row r="32">
      <c r="A32" s="138" t="inlineStr">
        <is>
          <t>LT VR/Census, CHIS</t>
        </is>
      </c>
      <c r="B32" s="138" t="n">
        <v>2019</v>
      </c>
      <c r="C32" s="138" t="inlineStr">
        <is>
          <t>m</t>
        </is>
      </c>
      <c r="D32" s="138" t="n">
        <v>50</v>
      </c>
      <c r="E32" s="138" t="n">
        <v>0.0002402</v>
      </c>
      <c r="F32" s="138" t="n">
        <v>0.0012002</v>
      </c>
      <c r="G32" s="138" t="n">
        <v>2.5</v>
      </c>
      <c r="H32" s="138" t="n">
        <v>99461.11</v>
      </c>
      <c r="I32" s="138" t="n">
        <v>119.3737</v>
      </c>
      <c r="J32" s="138" t="n">
        <v>497007.12</v>
      </c>
      <c r="K32" s="138" t="n">
        <v>21896525.84</v>
      </c>
      <c r="L32" s="138" t="n">
        <v>220.151633</v>
      </c>
    </row>
    <row r="33">
      <c r="A33" s="138" t="inlineStr">
        <is>
          <t>LT VR/Census, CHIS</t>
        </is>
      </c>
      <c r="B33" s="138" t="n">
        <v>2019</v>
      </c>
      <c r="C33" s="138" t="inlineStr">
        <is>
          <t>m</t>
        </is>
      </c>
      <c r="D33" s="138" t="n">
        <v>55</v>
      </c>
      <c r="E33" s="138" t="n">
        <v>0.0003911</v>
      </c>
      <c r="F33" s="138" t="n">
        <v>0.0019538</v>
      </c>
      <c r="G33" s="138" t="n">
        <v>2.5</v>
      </c>
      <c r="H33" s="138" t="n">
        <v>99341.74000000001</v>
      </c>
      <c r="I33" s="138" t="n">
        <v>194.0899</v>
      </c>
      <c r="J33" s="138" t="n">
        <v>496223.46</v>
      </c>
      <c r="K33" s="138" t="n">
        <v>21399518.72</v>
      </c>
      <c r="L33" s="138" t="n">
        <v>215.413174</v>
      </c>
    </row>
    <row r="34">
      <c r="A34" s="138" t="inlineStr">
        <is>
          <t>LT VR/Census, CHIS</t>
        </is>
      </c>
      <c r="B34" s="138" t="n">
        <v>2019</v>
      </c>
      <c r="C34" s="138" t="inlineStr">
        <is>
          <t>m</t>
        </is>
      </c>
      <c r="D34" s="138" t="n">
        <v>60</v>
      </c>
      <c r="E34" s="138" t="n">
        <v>0.0005013</v>
      </c>
      <c r="F34" s="138" t="n">
        <v>0.0025034</v>
      </c>
      <c r="G34" s="138" t="n">
        <v>2.5</v>
      </c>
      <c r="H34" s="138" t="n">
        <v>99147.64999999999</v>
      </c>
      <c r="I34" s="138" t="n">
        <v>248.2063</v>
      </c>
      <c r="J34" s="138" t="n">
        <v>495117.72</v>
      </c>
      <c r="K34" s="138" t="n">
        <v>20903295.26</v>
      </c>
      <c r="L34" s="138" t="n">
        <v>210.829969</v>
      </c>
    </row>
    <row r="35">
      <c r="A35" s="138" t="inlineStr">
        <is>
          <t>LT VR/Census, CHIS</t>
        </is>
      </c>
      <c r="B35" s="138" t="n">
        <v>2019</v>
      </c>
      <c r="C35" s="138" t="inlineStr">
        <is>
          <t>m</t>
        </is>
      </c>
      <c r="D35" s="138" t="n">
        <v>65</v>
      </c>
      <c r="E35" s="138" t="n">
        <v>0.0007352</v>
      </c>
      <c r="F35" s="138" t="n">
        <v>0.0036694</v>
      </c>
      <c r="G35" s="138" t="n">
        <v>2.5</v>
      </c>
      <c r="H35" s="138" t="n">
        <v>98899.44</v>
      </c>
      <c r="I35" s="138" t="n">
        <v>362.8988</v>
      </c>
      <c r="J35" s="138" t="n">
        <v>493589.95</v>
      </c>
      <c r="K35" s="138" t="n">
        <v>20408177.54</v>
      </c>
      <c r="L35" s="138" t="n">
        <v>206.352811</v>
      </c>
    </row>
    <row r="36">
      <c r="A36" s="138" t="inlineStr">
        <is>
          <t>LT VR/Census, CHIS</t>
        </is>
      </c>
      <c r="B36" s="138" t="n">
        <v>2019</v>
      </c>
      <c r="C36" s="138" t="inlineStr">
        <is>
          <t>m</t>
        </is>
      </c>
      <c r="D36" s="138" t="n">
        <v>70</v>
      </c>
      <c r="E36" s="138" t="n">
        <v>0.0010416</v>
      </c>
      <c r="F36" s="138" t="n">
        <v>0.0051945</v>
      </c>
      <c r="G36" s="138" t="n">
        <v>2.5</v>
      </c>
      <c r="H36" s="138" t="n">
        <v>98536.53999999999</v>
      </c>
      <c r="I36" s="138" t="n">
        <v>511.8498</v>
      </c>
      <c r="J36" s="138" t="n">
        <v>491403.08</v>
      </c>
      <c r="K36" s="138" t="n">
        <v>19914587.59</v>
      </c>
      <c r="L36" s="138" t="n">
        <v>202.103578</v>
      </c>
    </row>
    <row r="37">
      <c r="A37" s="138" t="inlineStr">
        <is>
          <t>LT VR/Census, CHIS</t>
        </is>
      </c>
      <c r="B37" s="138" t="n">
        <v>2019</v>
      </c>
      <c r="C37" s="138" t="inlineStr">
        <is>
          <t>m</t>
        </is>
      </c>
      <c r="D37" s="138" t="n">
        <v>75</v>
      </c>
      <c r="E37" s="138" t="n">
        <v>0.0017911</v>
      </c>
      <c r="F37" s="138" t="n">
        <v>0.0089157</v>
      </c>
      <c r="G37" s="138" t="n">
        <v>2.5</v>
      </c>
      <c r="H37" s="138" t="n">
        <v>98024.69</v>
      </c>
      <c r="I37" s="138" t="n">
        <v>873.9624</v>
      </c>
      <c r="J37" s="138" t="n">
        <v>487938.55</v>
      </c>
      <c r="K37" s="138" t="n">
        <v>19423184.51</v>
      </c>
      <c r="L37" s="138" t="n">
        <v>198.145836</v>
      </c>
    </row>
    <row r="38">
      <c r="A38" s="138" t="inlineStr">
        <is>
          <t>LT VR/Census, CHIS</t>
        </is>
      </c>
      <c r="B38" s="138" t="n">
        <v>2019</v>
      </c>
      <c r="C38" s="138" t="inlineStr">
        <is>
          <t>m</t>
        </is>
      </c>
      <c r="D38" s="138" t="n">
        <v>80</v>
      </c>
      <c r="E38" s="138" t="n">
        <v>0.0027679</v>
      </c>
      <c r="F38" s="138" t="n">
        <v>0.0137443</v>
      </c>
      <c r="G38" s="138" t="n">
        <v>2.5</v>
      </c>
      <c r="H38" s="138" t="n">
        <v>97150.73</v>
      </c>
      <c r="I38" s="138" t="n">
        <v>1335.2669</v>
      </c>
      <c r="J38" s="138" t="n">
        <v>482415.48</v>
      </c>
      <c r="K38" s="138" t="n">
        <v>18935245.96</v>
      </c>
      <c r="L38" s="138" t="n">
        <v>194.905855</v>
      </c>
    </row>
    <row r="39">
      <c r="A39" s="138" t="inlineStr">
        <is>
          <t>LT VR/Census, CHIS</t>
        </is>
      </c>
      <c r="B39" s="138" t="n">
        <v>2019</v>
      </c>
      <c r="C39" s="138" t="inlineStr">
        <is>
          <t>m</t>
        </is>
      </c>
      <c r="D39" s="138" t="n">
        <v>85</v>
      </c>
      <c r="E39" s="138" t="n">
        <v>0.0051925</v>
      </c>
      <c r="F39" s="138" t="n">
        <v>1</v>
      </c>
      <c r="G39" s="138" t="n">
        <v>192.5871882</v>
      </c>
      <c r="H39" s="138" t="n">
        <v>95815.46000000001</v>
      </c>
      <c r="I39" s="138" t="n">
        <v>95815.4624</v>
      </c>
      <c r="J39" s="138" t="n">
        <v>18452830.48</v>
      </c>
      <c r="K39" s="138" t="n">
        <v>18452830.48</v>
      </c>
      <c r="L39" s="138" t="n">
        <v>192.587188</v>
      </c>
    </row>
    <row r="40">
      <c r="H40" s="140" t="n"/>
    </row>
    <row r="59">
      <c r="H59" s="140" t="n"/>
    </row>
    <row r="78">
      <c r="A78" s="139" t="inlineStr">
        <is>
          <t>LT VR/Census, CHIS</t>
        </is>
      </c>
      <c r="B78" s="139" t="n">
        <v>2019</v>
      </c>
      <c r="C78" s="139" t="inlineStr">
        <is>
          <t>f</t>
        </is>
      </c>
      <c r="D78" s="139" t="n">
        <v>0</v>
      </c>
      <c r="E78" s="139" t="n">
        <v>0.0007448999999999999</v>
      </c>
      <c r="F78" s="139" t="n">
        <v>0.0007444</v>
      </c>
      <c r="G78" s="139" t="n">
        <v>0.0550858</v>
      </c>
      <c r="H78" s="143" t="n">
        <v>100000</v>
      </c>
      <c r="I78" s="139" t="n">
        <v>74.4417</v>
      </c>
      <c r="J78" s="139" t="n">
        <v>99929.66</v>
      </c>
      <c r="K78" s="139" t="n">
        <v>33791461.87</v>
      </c>
      <c r="L78" s="139" t="n">
        <v>337.914619</v>
      </c>
    </row>
    <row r="79">
      <c r="A79" s="139" t="inlineStr">
        <is>
          <t>LT VR/Census, CHIS</t>
        </is>
      </c>
      <c r="B79" s="139" t="n">
        <v>2019</v>
      </c>
      <c r="C79" s="139" t="inlineStr">
        <is>
          <t>f</t>
        </is>
      </c>
      <c r="D79" s="139" t="n">
        <v>1</v>
      </c>
      <c r="E79" s="139" t="n">
        <v>5.59e-05</v>
      </c>
      <c r="F79" s="139" t="n">
        <v>0.0002237</v>
      </c>
      <c r="G79" s="139" t="n">
        <v>1.5208692</v>
      </c>
      <c r="H79" s="139" t="n">
        <v>99925.56</v>
      </c>
      <c r="I79" s="139" t="n">
        <v>22.3525</v>
      </c>
      <c r="J79" s="139" t="n">
        <v>399646.82</v>
      </c>
      <c r="K79" s="139" t="n">
        <v>33691532.21</v>
      </c>
      <c r="L79" s="139" t="n">
        <v>337.166314</v>
      </c>
    </row>
    <row r="80">
      <c r="A80" s="139" t="inlineStr">
        <is>
          <t>LT VR/Census, CHIS</t>
        </is>
      </c>
      <c r="B80" s="139" t="n">
        <v>2019</v>
      </c>
      <c r="C80" s="139" t="inlineStr">
        <is>
          <t>f</t>
        </is>
      </c>
      <c r="D80" s="139" t="n">
        <v>5</v>
      </c>
      <c r="E80" s="139" t="n">
        <v>1.63e-05</v>
      </c>
      <c r="F80" s="139" t="n">
        <v>8.15e-05</v>
      </c>
      <c r="G80" s="139" t="n">
        <v>2.5</v>
      </c>
      <c r="H80" s="139" t="n">
        <v>99903.21000000001</v>
      </c>
      <c r="I80" s="139" t="n">
        <v>8.1439</v>
      </c>
      <c r="J80" s="139" t="n">
        <v>499495.67</v>
      </c>
      <c r="K80" s="139" t="n">
        <v>33291885.39</v>
      </c>
      <c r="L80" s="139" t="n">
        <v>333.241412</v>
      </c>
    </row>
    <row r="81">
      <c r="A81" s="139" t="inlineStr">
        <is>
          <t>LT VR/Census, CHIS</t>
        </is>
      </c>
      <c r="B81" s="139" t="n">
        <v>2019</v>
      </c>
      <c r="C81" s="139" t="inlineStr">
        <is>
          <t>f</t>
        </is>
      </c>
      <c r="D81" s="139" t="n">
        <v>10</v>
      </c>
      <c r="E81" s="139" t="n">
        <v>1.72e-05</v>
      </c>
      <c r="F81" s="139" t="n">
        <v>8.6e-05</v>
      </c>
      <c r="G81" s="139" t="n">
        <v>2.5</v>
      </c>
      <c r="H81" s="139" t="n">
        <v>99895.06</v>
      </c>
      <c r="I81" s="139" t="n">
        <v>8.5938</v>
      </c>
      <c r="J81" s="139" t="n">
        <v>499453.83</v>
      </c>
      <c r="K81" s="139" t="n">
        <v>32792389.72</v>
      </c>
      <c r="L81" s="139" t="n">
        <v>328.268376</v>
      </c>
    </row>
    <row r="82">
      <c r="A82" s="139" t="inlineStr">
        <is>
          <t>LT VR/Census, CHIS</t>
        </is>
      </c>
      <c r="B82" s="139" t="n">
        <v>2019</v>
      </c>
      <c r="C82" s="139" t="inlineStr">
        <is>
          <t>f</t>
        </is>
      </c>
      <c r="D82" s="139" t="n">
        <v>15</v>
      </c>
      <c r="E82" s="139" t="n">
        <v>2.55e-05</v>
      </c>
      <c r="F82" s="139" t="n">
        <v>0.0001275</v>
      </c>
      <c r="G82" s="139" t="n">
        <v>2.5</v>
      </c>
      <c r="H82" s="139" t="n">
        <v>99886.47</v>
      </c>
      <c r="I82" s="139" t="n">
        <v>12.7373</v>
      </c>
      <c r="J82" s="139" t="n">
        <v>499400.5</v>
      </c>
      <c r="K82" s="139" t="n">
        <v>32292935.9</v>
      </c>
      <c r="L82" s="139" t="n">
        <v>323.296403</v>
      </c>
    </row>
    <row r="83">
      <c r="A83" s="139" t="inlineStr">
        <is>
          <t>LT VR/Census, CHIS</t>
        </is>
      </c>
      <c r="B83" s="139" t="n">
        <v>2019</v>
      </c>
      <c r="C83" s="139" t="inlineStr">
        <is>
          <t>f</t>
        </is>
      </c>
      <c r="D83" s="139" t="n">
        <v>20</v>
      </c>
      <c r="E83" s="139" t="n">
        <v>2.91e-05</v>
      </c>
      <c r="F83" s="139" t="n">
        <v>0.0001455</v>
      </c>
      <c r="G83" s="139" t="n">
        <v>2.5</v>
      </c>
      <c r="H83" s="139" t="n">
        <v>99873.73</v>
      </c>
      <c r="I83" s="139" t="n">
        <v>14.529</v>
      </c>
      <c r="J83" s="139" t="n">
        <v>499332.33</v>
      </c>
      <c r="K83" s="139" t="n">
        <v>31793535.4</v>
      </c>
      <c r="L83" s="139" t="n">
        <v>318.337316</v>
      </c>
    </row>
    <row r="84">
      <c r="A84" s="139" t="inlineStr">
        <is>
          <t>LT VR/Census, CHIS</t>
        </is>
      </c>
      <c r="B84" s="139" t="n">
        <v>2019</v>
      </c>
      <c r="C84" s="139" t="inlineStr">
        <is>
          <t>f</t>
        </is>
      </c>
      <c r="D84" s="139" t="n">
        <v>25</v>
      </c>
      <c r="E84" s="139" t="n">
        <v>3.6e-05</v>
      </c>
      <c r="F84" s="139" t="n">
        <v>0.0001802</v>
      </c>
      <c r="G84" s="139" t="n">
        <v>2.5</v>
      </c>
      <c r="H84" s="139" t="n">
        <v>99859.2</v>
      </c>
      <c r="I84" s="139" t="n">
        <v>17.9965</v>
      </c>
      <c r="J84" s="139" t="n">
        <v>499251.02</v>
      </c>
      <c r="K84" s="139" t="n">
        <v>31294203.07</v>
      </c>
      <c r="L84" s="139" t="n">
        <v>313.383269</v>
      </c>
    </row>
    <row r="85">
      <c r="A85" s="139" t="inlineStr">
        <is>
          <t>LT VR/Census, CHIS</t>
        </is>
      </c>
      <c r="B85" s="139" t="n">
        <v>2019</v>
      </c>
      <c r="C85" s="139" t="inlineStr">
        <is>
          <t>f</t>
        </is>
      </c>
      <c r="D85" s="139" t="n">
        <v>30</v>
      </c>
      <c r="E85" s="139" t="n">
        <v>4.53e-05</v>
      </c>
      <c r="F85" s="139" t="n">
        <v>0.0002267</v>
      </c>
      <c r="G85" s="139" t="n">
        <v>2.5</v>
      </c>
      <c r="H85" s="139" t="n">
        <v>99841.21000000001</v>
      </c>
      <c r="I85" s="139" t="n">
        <v>22.6363</v>
      </c>
      <c r="J85" s="139" t="n">
        <v>499149.44</v>
      </c>
      <c r="K85" s="139" t="n">
        <v>30794952.05</v>
      </c>
      <c r="L85" s="139" t="n">
        <v>308.439306</v>
      </c>
    </row>
    <row r="86">
      <c r="A86" s="139" t="inlineStr">
        <is>
          <t>LT VR/Census, CHIS</t>
        </is>
      </c>
      <c r="B86" s="139" t="n">
        <v>2019</v>
      </c>
      <c r="C86" s="139" t="inlineStr">
        <is>
          <t>f</t>
        </is>
      </c>
      <c r="D86" s="139" t="n">
        <v>35</v>
      </c>
      <c r="E86" s="139" t="n">
        <v>6.37e-05</v>
      </c>
      <c r="F86" s="139" t="n">
        <v>0.0003187</v>
      </c>
      <c r="G86" s="139" t="n">
        <v>2.5</v>
      </c>
      <c r="H86" s="139" t="n">
        <v>99818.57000000001</v>
      </c>
      <c r="I86" s="139" t="n">
        <v>31.8078</v>
      </c>
      <c r="J86" s="139" t="n">
        <v>499013.32</v>
      </c>
      <c r="K86" s="139" t="n">
        <v>30295802.61</v>
      </c>
      <c r="L86" s="139" t="n">
        <v>303.508685</v>
      </c>
    </row>
    <row r="87">
      <c r="A87" s="139" t="inlineStr">
        <is>
          <t>LT VR/Census, CHIS</t>
        </is>
      </c>
      <c r="B87" s="139" t="n">
        <v>2019</v>
      </c>
      <c r="C87" s="139" t="inlineStr">
        <is>
          <t>f</t>
        </is>
      </c>
      <c r="D87" s="139" t="n">
        <v>40</v>
      </c>
      <c r="E87" s="139" t="n">
        <v>8.52e-05</v>
      </c>
      <c r="F87" s="139" t="n">
        <v>0.0004257</v>
      </c>
      <c r="G87" s="139" t="n">
        <v>2.5</v>
      </c>
      <c r="H87" s="139" t="n">
        <v>99786.75999999999</v>
      </c>
      <c r="I87" s="139" t="n">
        <v>42.4761</v>
      </c>
      <c r="J87" s="139" t="n">
        <v>498827.62</v>
      </c>
      <c r="K87" s="139" t="n">
        <v>29796789.29</v>
      </c>
      <c r="L87" s="139" t="n">
        <v>298.604634</v>
      </c>
    </row>
    <row r="88">
      <c r="A88" s="139" t="inlineStr">
        <is>
          <t>LT VR/Census, CHIS</t>
        </is>
      </c>
      <c r="B88" s="139" t="n">
        <v>2019</v>
      </c>
      <c r="C88" s="139" t="inlineStr">
        <is>
          <t>f</t>
        </is>
      </c>
      <c r="D88" s="139" t="n">
        <v>45</v>
      </c>
      <c r="E88" s="139" t="n">
        <v>0.0001326</v>
      </c>
      <c r="F88" s="139" t="n">
        <v>0.0006628</v>
      </c>
      <c r="G88" s="139" t="n">
        <v>2.5</v>
      </c>
      <c r="H88" s="139" t="n">
        <v>99744.28</v>
      </c>
      <c r="I88" s="139" t="n">
        <v>66.1069</v>
      </c>
      <c r="J88" s="139" t="n">
        <v>498556.16</v>
      </c>
      <c r="K88" s="139" t="n">
        <v>29297961.67</v>
      </c>
      <c r="L88" s="139" t="n">
        <v>293.73073</v>
      </c>
    </row>
    <row r="89">
      <c r="A89" s="139" t="inlineStr">
        <is>
          <t>LT VR/Census, CHIS</t>
        </is>
      </c>
      <c r="B89" s="139" t="n">
        <v>2019</v>
      </c>
      <c r="C89" s="139" t="inlineStr">
        <is>
          <t>f</t>
        </is>
      </c>
      <c r="D89" s="139" t="n">
        <v>50</v>
      </c>
      <c r="E89" s="139" t="n">
        <v>0.0001849</v>
      </c>
      <c r="F89" s="139" t="n">
        <v>0.0009242</v>
      </c>
      <c r="G89" s="139" t="n">
        <v>2.5</v>
      </c>
      <c r="H89" s="139" t="n">
        <v>99678.17999999999</v>
      </c>
      <c r="I89" s="139" t="n">
        <v>92.12730000000001</v>
      </c>
      <c r="J89" s="139" t="n">
        <v>498160.57</v>
      </c>
      <c r="K89" s="139" t="n">
        <v>28799405.52</v>
      </c>
      <c r="L89" s="139" t="n">
        <v>288.923875</v>
      </c>
    </row>
    <row r="90">
      <c r="A90" s="139" t="inlineStr">
        <is>
          <t>LT VR/Census, CHIS</t>
        </is>
      </c>
      <c r="B90" s="139" t="n">
        <v>2019</v>
      </c>
      <c r="C90" s="139" t="inlineStr">
        <is>
          <t>f</t>
        </is>
      </c>
      <c r="D90" s="139" t="n">
        <v>55</v>
      </c>
      <c r="E90" s="139" t="n">
        <v>0.0003191</v>
      </c>
      <c r="F90" s="139" t="n">
        <v>0.0015941</v>
      </c>
      <c r="G90" s="139" t="n">
        <v>2.5</v>
      </c>
      <c r="H90" s="139" t="n">
        <v>99586.05</v>
      </c>
      <c r="I90" s="139" t="n">
        <v>158.7507</v>
      </c>
      <c r="J90" s="139" t="n">
        <v>497533.38</v>
      </c>
      <c r="K90" s="139" t="n">
        <v>28301244.94</v>
      </c>
      <c r="L90" s="139" t="n">
        <v>284.188847</v>
      </c>
    </row>
    <row r="91">
      <c r="A91" s="139" t="inlineStr">
        <is>
          <t>LT VR/Census, CHIS</t>
        </is>
      </c>
      <c r="B91" s="139" t="n">
        <v>2019</v>
      </c>
      <c r="C91" s="139" t="inlineStr">
        <is>
          <t>f</t>
        </is>
      </c>
      <c r="D91" s="139" t="n">
        <v>60</v>
      </c>
      <c r="E91" s="139" t="n">
        <v>0.0004211</v>
      </c>
      <c r="F91" s="139" t="n">
        <v>0.0021031</v>
      </c>
      <c r="G91" s="139" t="n">
        <v>2.5</v>
      </c>
      <c r="H91" s="139" t="n">
        <v>99427.3</v>
      </c>
      <c r="I91" s="139" t="n">
        <v>209.1034</v>
      </c>
      <c r="J91" s="139" t="n">
        <v>496613.74</v>
      </c>
      <c r="K91" s="139" t="n">
        <v>27803711.57</v>
      </c>
      <c r="L91" s="139" t="n">
        <v>279.638606</v>
      </c>
    </row>
    <row r="92">
      <c r="A92" s="139" t="inlineStr">
        <is>
          <t>LT VR/Census, CHIS</t>
        </is>
      </c>
      <c r="B92" s="139" t="n">
        <v>2019</v>
      </c>
      <c r="C92" s="139" t="inlineStr">
        <is>
          <t>f</t>
        </is>
      </c>
      <c r="D92" s="139" t="n">
        <v>65</v>
      </c>
      <c r="E92" s="139" t="n">
        <v>0.0005702</v>
      </c>
      <c r="F92" s="139" t="n">
        <v>0.0028468</v>
      </c>
      <c r="G92" s="139" t="n">
        <v>2.5</v>
      </c>
      <c r="H92" s="139" t="n">
        <v>99218.2</v>
      </c>
      <c r="I92" s="139" t="n">
        <v>282.4584</v>
      </c>
      <c r="J92" s="139" t="n">
        <v>495384.84</v>
      </c>
      <c r="K92" s="139" t="n">
        <v>27307097.82</v>
      </c>
      <c r="L92" s="139" t="n">
        <v>275.222678</v>
      </c>
    </row>
    <row r="93">
      <c r="A93" s="139" t="inlineStr">
        <is>
          <t>LT VR/Census, CHIS</t>
        </is>
      </c>
      <c r="B93" s="139" t="n">
        <v>2019</v>
      </c>
      <c r="C93" s="139" t="inlineStr">
        <is>
          <t>f</t>
        </is>
      </c>
      <c r="D93" s="139" t="n">
        <v>70</v>
      </c>
      <c r="E93" s="139" t="n">
        <v>0.0008612</v>
      </c>
      <c r="F93" s="139" t="n">
        <v>0.0042969</v>
      </c>
      <c r="G93" s="139" t="n">
        <v>2.5</v>
      </c>
      <c r="H93" s="139" t="n">
        <v>98935.74000000001</v>
      </c>
      <c r="I93" s="139" t="n">
        <v>425.1208</v>
      </c>
      <c r="J93" s="139" t="n">
        <v>493615.89</v>
      </c>
      <c r="K93" s="139" t="n">
        <v>26811712.99</v>
      </c>
      <c r="L93" s="139" t="n">
        <v>271.001293</v>
      </c>
    </row>
    <row r="94">
      <c r="A94" s="139" t="inlineStr">
        <is>
          <t>LT VR/Census, CHIS</t>
        </is>
      </c>
      <c r="B94" s="139" t="n">
        <v>2019</v>
      </c>
      <c r="C94" s="139" t="inlineStr">
        <is>
          <t>f</t>
        </is>
      </c>
      <c r="D94" s="139" t="n">
        <v>75</v>
      </c>
      <c r="E94" s="139" t="n">
        <v>0.0015344</v>
      </c>
      <c r="F94" s="139" t="n">
        <v>0.0076426</v>
      </c>
      <c r="G94" s="139" t="n">
        <v>2.5</v>
      </c>
      <c r="H94" s="139" t="n">
        <v>98510.62</v>
      </c>
      <c r="I94" s="139" t="n">
        <v>752.8758</v>
      </c>
      <c r="J94" s="139" t="n">
        <v>490670.9</v>
      </c>
      <c r="K94" s="139" t="n">
        <v>26318097.1</v>
      </c>
      <c r="L94" s="139" t="n">
        <v>267.160005</v>
      </c>
    </row>
    <row r="95">
      <c r="A95" s="139" t="inlineStr">
        <is>
          <t>LT VR/Census, CHIS</t>
        </is>
      </c>
      <c r="B95" s="139" t="n">
        <v>2019</v>
      </c>
      <c r="C95" s="139" t="inlineStr">
        <is>
          <t>f</t>
        </is>
      </c>
      <c r="D95" s="139" t="n">
        <v>80</v>
      </c>
      <c r="E95" s="139" t="n">
        <v>0.0020833</v>
      </c>
      <c r="F95" s="139" t="n">
        <v>0.0103624</v>
      </c>
      <c r="G95" s="139" t="n">
        <v>2.5</v>
      </c>
      <c r="H95" s="139" t="n">
        <v>97757.74000000001</v>
      </c>
      <c r="I95" s="139" t="n">
        <v>1013.0035</v>
      </c>
      <c r="J95" s="139" t="n">
        <v>486256.2</v>
      </c>
      <c r="K95" s="139" t="n">
        <v>25827426.2</v>
      </c>
      <c r="L95" s="139" t="n">
        <v>264.19827</v>
      </c>
    </row>
    <row r="96">
      <c r="A96" s="139" t="inlineStr">
        <is>
          <t>LT VR/Census, CHIS</t>
        </is>
      </c>
      <c r="B96" s="139" t="n">
        <v>2019</v>
      </c>
      <c r="C96" s="139" t="inlineStr">
        <is>
          <t>f</t>
        </is>
      </c>
      <c r="D96" s="139" t="n">
        <v>85</v>
      </c>
      <c r="E96" s="139" t="n">
        <v>0.0038177</v>
      </c>
      <c r="F96" s="139" t="n">
        <v>1</v>
      </c>
      <c r="G96" s="139" t="n">
        <v>261.9384835</v>
      </c>
      <c r="H96" s="139" t="n">
        <v>96744.74000000001</v>
      </c>
      <c r="I96" s="139" t="n">
        <v>96744.73820000001</v>
      </c>
      <c r="J96" s="139" t="n">
        <v>25341170</v>
      </c>
      <c r="K96" s="139" t="n">
        <v>25341170</v>
      </c>
      <c r="L96" s="139" t="n">
        <v>261.938484</v>
      </c>
    </row>
    <row r="97">
      <c r="H97" s="14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36"/>
  <sheetViews>
    <sheetView topLeftCell="A1219" workbookViewId="0">
      <selection activeCell="D1218" sqref="D1218:D1236"/>
    </sheetView>
  </sheetViews>
  <sheetFormatPr baseColWidth="10" defaultRowHeight="14.4"/>
  <sheetData>
    <row r="1">
      <c r="A1" t="inlineStr">
        <is>
          <t>year</t>
        </is>
      </c>
      <c r="B1" t="inlineStr">
        <is>
          <t>sex</t>
        </is>
      </c>
      <c r="C1" t="inlineStr">
        <is>
          <t>age</t>
        </is>
      </c>
      <c r="D1" t="inlineStr">
        <is>
          <t>deaths</t>
        </is>
      </c>
    </row>
    <row r="553">
      <c r="A553" s="138" t="n">
        <v>2019</v>
      </c>
      <c r="B553" s="138" t="inlineStr">
        <is>
          <t>male</t>
        </is>
      </c>
      <c r="C553" s="138" t="n">
        <v>0</v>
      </c>
      <c r="D553" s="138" t="n">
        <v>1</v>
      </c>
    </row>
    <row r="554">
      <c r="A554" s="138" t="n">
        <v>2019</v>
      </c>
      <c r="B554" s="138" t="inlineStr">
        <is>
          <t>male</t>
        </is>
      </c>
      <c r="C554" s="138" t="n">
        <v>1</v>
      </c>
      <c r="D554" s="138" t="n">
        <v>0</v>
      </c>
    </row>
    <row r="555">
      <c r="A555" s="138" t="n">
        <v>2019</v>
      </c>
      <c r="B555" s="138" t="inlineStr">
        <is>
          <t>male</t>
        </is>
      </c>
      <c r="C555" s="138" t="n">
        <v>5</v>
      </c>
      <c r="D555" s="138" t="n">
        <v>2</v>
      </c>
    </row>
    <row r="556">
      <c r="A556" s="138" t="n">
        <v>2019</v>
      </c>
      <c r="B556" s="138" t="inlineStr">
        <is>
          <t>male</t>
        </is>
      </c>
      <c r="C556" s="138" t="n">
        <v>10</v>
      </c>
      <c r="D556" s="138" t="n">
        <v>5</v>
      </c>
    </row>
    <row r="557">
      <c r="A557" s="138" t="n">
        <v>2019</v>
      </c>
      <c r="B557" s="138" t="inlineStr">
        <is>
          <t>male</t>
        </is>
      </c>
      <c r="C557" s="138" t="n">
        <v>15</v>
      </c>
      <c r="D557" s="138" t="n">
        <v>25</v>
      </c>
    </row>
    <row r="558">
      <c r="A558" s="138" t="n">
        <v>2019</v>
      </c>
      <c r="B558" s="138" t="inlineStr">
        <is>
          <t>male</t>
        </is>
      </c>
      <c r="C558" s="138" t="n">
        <v>20</v>
      </c>
      <c r="D558" s="138" t="n">
        <v>70</v>
      </c>
    </row>
    <row r="559">
      <c r="A559" s="138" t="n">
        <v>2019</v>
      </c>
      <c r="B559" s="138" t="inlineStr">
        <is>
          <t>male</t>
        </is>
      </c>
      <c r="C559" s="138" t="n">
        <v>25</v>
      </c>
      <c r="D559" s="138" t="n">
        <v>85</v>
      </c>
    </row>
    <row r="560">
      <c r="A560" s="138" t="n">
        <v>2019</v>
      </c>
      <c r="B560" s="138" t="inlineStr">
        <is>
          <t>male</t>
        </is>
      </c>
      <c r="C560" s="138" t="n">
        <v>30</v>
      </c>
      <c r="D560" s="138" t="n">
        <v>65</v>
      </c>
    </row>
    <row r="561">
      <c r="A561" s="138" t="n">
        <v>2019</v>
      </c>
      <c r="B561" s="138" t="inlineStr">
        <is>
          <t>male</t>
        </is>
      </c>
      <c r="C561" s="138" t="n">
        <v>35</v>
      </c>
      <c r="D561" s="138" t="n">
        <v>61</v>
      </c>
    </row>
    <row r="562">
      <c r="A562" s="138" t="n">
        <v>2019</v>
      </c>
      <c r="B562" s="138" t="inlineStr">
        <is>
          <t>male</t>
        </is>
      </c>
      <c r="C562" s="138" t="n">
        <v>40</v>
      </c>
      <c r="D562" s="138" t="n">
        <v>56</v>
      </c>
    </row>
    <row r="563">
      <c r="A563" s="138" t="n">
        <v>2019</v>
      </c>
      <c r="B563" s="138" t="inlineStr">
        <is>
          <t>male</t>
        </is>
      </c>
      <c r="C563" s="138" t="n">
        <v>45</v>
      </c>
      <c r="D563" s="138" t="n">
        <v>32</v>
      </c>
    </row>
    <row r="564">
      <c r="A564" s="138" t="n">
        <v>2019</v>
      </c>
      <c r="B564" s="138" t="inlineStr">
        <is>
          <t>male</t>
        </is>
      </c>
      <c r="C564" s="138" t="n">
        <v>50</v>
      </c>
      <c r="D564" s="138" t="n">
        <v>25</v>
      </c>
    </row>
    <row r="565">
      <c r="A565" s="138" t="n">
        <v>2019</v>
      </c>
      <c r="B565" s="138" t="inlineStr">
        <is>
          <t>male</t>
        </is>
      </c>
      <c r="C565" s="138" t="n">
        <v>55</v>
      </c>
      <c r="D565" s="138" t="n">
        <v>32</v>
      </c>
    </row>
    <row r="566">
      <c r="A566" s="138" t="n">
        <v>2019</v>
      </c>
      <c r="B566" s="138" t="inlineStr">
        <is>
          <t>male</t>
        </is>
      </c>
      <c r="C566" s="138" t="n">
        <v>60</v>
      </c>
      <c r="D566" s="138" t="n">
        <v>21</v>
      </c>
    </row>
    <row r="567">
      <c r="A567" s="138" t="n">
        <v>2019</v>
      </c>
      <c r="B567" s="138" t="inlineStr">
        <is>
          <t>male</t>
        </is>
      </c>
      <c r="C567" s="138" t="n">
        <v>65</v>
      </c>
      <c r="D567" s="138" t="n">
        <v>17</v>
      </c>
    </row>
    <row r="568">
      <c r="A568" s="138" t="n">
        <v>2019</v>
      </c>
      <c r="B568" s="138" t="inlineStr">
        <is>
          <t>male</t>
        </is>
      </c>
      <c r="C568" s="138" t="n">
        <v>70</v>
      </c>
      <c r="D568" s="138" t="n">
        <v>8</v>
      </c>
    </row>
    <row r="569">
      <c r="A569" s="138" t="n">
        <v>2019</v>
      </c>
      <c r="B569" s="138" t="inlineStr">
        <is>
          <t>male</t>
        </is>
      </c>
      <c r="C569" s="138" t="n">
        <v>75</v>
      </c>
      <c r="D569" s="138" t="n">
        <v>2</v>
      </c>
    </row>
    <row r="570">
      <c r="A570" s="138" t="n">
        <v>2019</v>
      </c>
      <c r="B570" s="138" t="inlineStr">
        <is>
          <t>male</t>
        </is>
      </c>
      <c r="C570" s="138" t="n">
        <v>80</v>
      </c>
      <c r="D570" s="138" t="n">
        <v>3</v>
      </c>
    </row>
    <row r="571">
      <c r="A571" s="138" t="n">
        <v>2019</v>
      </c>
      <c r="B571" s="138" t="inlineStr">
        <is>
          <t>male</t>
        </is>
      </c>
      <c r="C571" s="138" t="n">
        <v>85</v>
      </c>
      <c r="D571" s="138" t="n">
        <v>2</v>
      </c>
    </row>
    <row r="1218">
      <c r="A1218" s="139" t="n">
        <v>2019</v>
      </c>
      <c r="B1218" s="139" t="inlineStr">
        <is>
          <t>female</t>
        </is>
      </c>
      <c r="C1218" s="139" t="n">
        <v>0</v>
      </c>
      <c r="D1218" s="139" t="n">
        <v>1</v>
      </c>
    </row>
    <row r="1219">
      <c r="A1219" s="139" t="n">
        <v>2019</v>
      </c>
      <c r="B1219" s="139" t="inlineStr">
        <is>
          <t>female</t>
        </is>
      </c>
      <c r="C1219" s="139" t="n">
        <v>1</v>
      </c>
      <c r="D1219" s="139" t="n">
        <v>1</v>
      </c>
    </row>
    <row r="1220">
      <c r="A1220" s="139" t="n">
        <v>2019</v>
      </c>
      <c r="B1220" s="139" t="inlineStr">
        <is>
          <t>female</t>
        </is>
      </c>
      <c r="C1220" s="139" t="n">
        <v>5</v>
      </c>
      <c r="D1220" s="139" t="n">
        <v>0</v>
      </c>
    </row>
    <row r="1221">
      <c r="A1221" s="139" t="n">
        <v>2019</v>
      </c>
      <c r="B1221" s="139" t="inlineStr">
        <is>
          <t>female</t>
        </is>
      </c>
      <c r="C1221" s="139" t="n">
        <v>10</v>
      </c>
      <c r="D1221" s="139" t="n">
        <v>1</v>
      </c>
    </row>
    <row r="1222">
      <c r="A1222" s="139" t="n">
        <v>2019</v>
      </c>
      <c r="B1222" s="139" t="inlineStr">
        <is>
          <t>female</t>
        </is>
      </c>
      <c r="C1222" s="139" t="n">
        <v>15</v>
      </c>
      <c r="D1222" s="139" t="n">
        <v>9</v>
      </c>
    </row>
    <row r="1223">
      <c r="A1223" s="139" t="n">
        <v>2019</v>
      </c>
      <c r="B1223" s="139" t="inlineStr">
        <is>
          <t>female</t>
        </is>
      </c>
      <c r="C1223" s="139" t="n">
        <v>20</v>
      </c>
      <c r="D1223" s="139" t="n">
        <v>5</v>
      </c>
    </row>
    <row r="1224">
      <c r="A1224" s="139" t="n">
        <v>2019</v>
      </c>
      <c r="B1224" s="139" t="inlineStr">
        <is>
          <t>female</t>
        </is>
      </c>
      <c r="C1224" s="139" t="n">
        <v>25</v>
      </c>
      <c r="D1224" s="139" t="n">
        <v>12</v>
      </c>
    </row>
    <row r="1225">
      <c r="A1225" s="139" t="n">
        <v>2019</v>
      </c>
      <c r="B1225" s="139" t="inlineStr">
        <is>
          <t>female</t>
        </is>
      </c>
      <c r="C1225" s="139" t="n">
        <v>30</v>
      </c>
      <c r="D1225" s="139" t="n">
        <v>7</v>
      </c>
    </row>
    <row r="1226">
      <c r="A1226" s="139" t="n">
        <v>2019</v>
      </c>
      <c r="B1226" s="139" t="inlineStr">
        <is>
          <t>female</t>
        </is>
      </c>
      <c r="C1226" s="139" t="n">
        <v>35</v>
      </c>
      <c r="D1226" s="139" t="n">
        <v>12</v>
      </c>
    </row>
    <row r="1227">
      <c r="A1227" s="139" t="n">
        <v>2019</v>
      </c>
      <c r="B1227" s="139" t="inlineStr">
        <is>
          <t>female</t>
        </is>
      </c>
      <c r="C1227" s="139" t="n">
        <v>40</v>
      </c>
      <c r="D1227" s="139" t="n">
        <v>5</v>
      </c>
    </row>
    <row r="1228">
      <c r="A1228" s="139" t="n">
        <v>2019</v>
      </c>
      <c r="B1228" s="139" t="inlineStr">
        <is>
          <t>female</t>
        </is>
      </c>
      <c r="C1228" s="139" t="n">
        <v>45</v>
      </c>
      <c r="D1228" s="139" t="n">
        <v>3</v>
      </c>
    </row>
    <row r="1229">
      <c r="A1229" s="139" t="n">
        <v>2019</v>
      </c>
      <c r="B1229" s="139" t="inlineStr">
        <is>
          <t>female</t>
        </is>
      </c>
      <c r="C1229" s="139" t="n">
        <v>50</v>
      </c>
      <c r="D1229" s="139" t="n">
        <v>3</v>
      </c>
    </row>
    <row r="1230">
      <c r="A1230" s="139" t="n">
        <v>2019</v>
      </c>
      <c r="B1230" s="139" t="inlineStr">
        <is>
          <t>female</t>
        </is>
      </c>
      <c r="C1230" s="139" t="n">
        <v>55</v>
      </c>
      <c r="D1230" s="139" t="n">
        <v>2</v>
      </c>
    </row>
    <row r="1231">
      <c r="A1231" s="139" t="n">
        <v>2019</v>
      </c>
      <c r="B1231" s="139" t="inlineStr">
        <is>
          <t>female</t>
        </is>
      </c>
      <c r="C1231" s="139" t="n">
        <v>60</v>
      </c>
      <c r="D1231" s="139" t="n">
        <v>0</v>
      </c>
    </row>
    <row r="1232">
      <c r="A1232" s="139" t="n">
        <v>2019</v>
      </c>
      <c r="B1232" s="139" t="inlineStr">
        <is>
          <t>female</t>
        </is>
      </c>
      <c r="C1232" s="139" t="n">
        <v>65</v>
      </c>
      <c r="D1232" s="139" t="n">
        <v>2</v>
      </c>
    </row>
    <row r="1233">
      <c r="A1233" s="139" t="n">
        <v>2019</v>
      </c>
      <c r="B1233" s="139" t="inlineStr">
        <is>
          <t>female</t>
        </is>
      </c>
      <c r="C1233" s="139" t="n">
        <v>70</v>
      </c>
      <c r="D1233" s="139" t="n">
        <v>2</v>
      </c>
    </row>
    <row r="1234">
      <c r="A1234" s="139" t="n">
        <v>2019</v>
      </c>
      <c r="B1234" s="139" t="inlineStr">
        <is>
          <t>female</t>
        </is>
      </c>
      <c r="C1234" s="139" t="n">
        <v>75</v>
      </c>
      <c r="D1234" s="139" t="n">
        <v>1</v>
      </c>
    </row>
    <row r="1235">
      <c r="A1235" s="139" t="n">
        <v>2019</v>
      </c>
      <c r="B1235" s="139" t="inlineStr">
        <is>
          <t>female</t>
        </is>
      </c>
      <c r="C1235" s="139" t="n">
        <v>80</v>
      </c>
      <c r="D1235" s="139" t="n">
        <v>0</v>
      </c>
    </row>
    <row r="1236">
      <c r="A1236" s="139" t="n">
        <v>2019</v>
      </c>
      <c r="B1236" s="139" t="inlineStr">
        <is>
          <t>female</t>
        </is>
      </c>
      <c r="C1236" s="139" t="n">
        <v>85</v>
      </c>
      <c r="D1236" s="139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6"/>
  <sheetViews>
    <sheetView topLeftCell="A87" workbookViewId="0">
      <selection activeCell="R87" sqref="R87"/>
    </sheetView>
  </sheetViews>
  <sheetFormatPr baseColWidth="10" defaultRowHeight="14.4"/>
  <sheetData>
    <row r="1">
      <c r="A1" t="inlineStr">
        <is>
          <t>year</t>
        </is>
      </c>
      <c r="B1" t="inlineStr">
        <is>
          <t>sex</t>
        </is>
      </c>
      <c r="C1" t="inlineStr">
        <is>
          <t>age</t>
        </is>
      </c>
      <c r="D1" t="inlineStr">
        <is>
          <t>deaths</t>
        </is>
      </c>
    </row>
    <row r="21">
      <c r="A21" s="138" t="n">
        <v>2019</v>
      </c>
      <c r="B21" s="138" t="inlineStr">
        <is>
          <t>male</t>
        </is>
      </c>
      <c r="C21" s="138" t="n">
        <v>0</v>
      </c>
      <c r="D21" s="138" t="n">
        <v>784</v>
      </c>
    </row>
    <row r="22">
      <c r="A22" s="138" t="n">
        <v>2019</v>
      </c>
      <c r="B22" s="138" t="inlineStr">
        <is>
          <t>male</t>
        </is>
      </c>
      <c r="C22" s="138" t="n">
        <v>1</v>
      </c>
      <c r="D22" s="138" t="n">
        <v>239</v>
      </c>
    </row>
    <row r="23">
      <c r="A23" s="138" t="n">
        <v>2019</v>
      </c>
      <c r="B23" s="138" t="inlineStr">
        <is>
          <t>male</t>
        </is>
      </c>
      <c r="C23" s="138" t="n">
        <v>5</v>
      </c>
      <c r="D23" s="138" t="n">
        <v>122</v>
      </c>
    </row>
    <row r="24">
      <c r="A24" s="138" t="n">
        <v>2019</v>
      </c>
      <c r="B24" s="138" t="inlineStr">
        <is>
          <t>male</t>
        </is>
      </c>
      <c r="C24" s="138" t="n">
        <v>10</v>
      </c>
      <c r="D24" s="138" t="n">
        <v>132</v>
      </c>
    </row>
    <row r="25">
      <c r="A25" s="138" t="n">
        <v>2019</v>
      </c>
      <c r="B25" s="138" t="inlineStr">
        <is>
          <t>male</t>
        </is>
      </c>
      <c r="C25" s="138" t="n">
        <v>15</v>
      </c>
      <c r="D25" s="138" t="n">
        <v>272</v>
      </c>
    </row>
    <row r="26">
      <c r="A26" s="138" t="n">
        <v>2019</v>
      </c>
      <c r="B26" s="138" t="inlineStr">
        <is>
          <t>male</t>
        </is>
      </c>
      <c r="C26" s="138" t="n">
        <v>20</v>
      </c>
      <c r="D26" s="138" t="n">
        <v>433</v>
      </c>
    </row>
    <row r="27">
      <c r="A27" s="138" t="n">
        <v>2019</v>
      </c>
      <c r="B27" s="138" t="inlineStr">
        <is>
          <t>male</t>
        </is>
      </c>
      <c r="C27" s="138" t="n">
        <v>25</v>
      </c>
      <c r="D27" s="138" t="n">
        <v>503</v>
      </c>
    </row>
    <row r="28">
      <c r="A28" s="138" t="n">
        <v>2019</v>
      </c>
      <c r="B28" s="138" t="inlineStr">
        <is>
          <t>male</t>
        </is>
      </c>
      <c r="C28" s="138" t="n">
        <v>30</v>
      </c>
      <c r="D28" s="138" t="n">
        <v>510</v>
      </c>
    </row>
    <row r="29">
      <c r="A29" s="138" t="n">
        <v>2019</v>
      </c>
      <c r="B29" s="138" t="inlineStr">
        <is>
          <t>male</t>
        </is>
      </c>
      <c r="C29" s="138" t="n">
        <v>35</v>
      </c>
      <c r="D29" s="138" t="n">
        <v>548</v>
      </c>
    </row>
    <row r="30">
      <c r="A30" s="138" t="n">
        <v>2019</v>
      </c>
      <c r="B30" s="138" t="inlineStr">
        <is>
          <t>male</t>
        </is>
      </c>
      <c r="C30" s="138" t="n">
        <v>40</v>
      </c>
      <c r="D30" s="138" t="n">
        <v>636</v>
      </c>
    </row>
    <row r="31">
      <c r="A31" s="138" t="n">
        <v>2019</v>
      </c>
      <c r="B31" s="138" t="inlineStr">
        <is>
          <t>male</t>
        </is>
      </c>
      <c r="C31" s="138" t="n">
        <v>45</v>
      </c>
      <c r="D31" s="138" t="n">
        <v>688</v>
      </c>
    </row>
    <row r="32">
      <c r="A32" s="138" t="n">
        <v>2019</v>
      </c>
      <c r="B32" s="138" t="inlineStr">
        <is>
          <t>male</t>
        </is>
      </c>
      <c r="C32" s="138" t="n">
        <v>50</v>
      </c>
      <c r="D32" s="138" t="n">
        <v>784</v>
      </c>
    </row>
    <row r="33">
      <c r="A33" s="138" t="n">
        <v>2019</v>
      </c>
      <c r="B33" s="138" t="inlineStr">
        <is>
          <t>male</t>
        </is>
      </c>
      <c r="C33" s="138" t="n">
        <v>55</v>
      </c>
      <c r="D33" s="138" t="n">
        <v>1029</v>
      </c>
    </row>
    <row r="34">
      <c r="A34" s="138" t="n">
        <v>2019</v>
      </c>
      <c r="B34" s="138" t="inlineStr">
        <is>
          <t>male</t>
        </is>
      </c>
      <c r="C34" s="138" t="n">
        <v>60</v>
      </c>
      <c r="D34" s="138" t="n">
        <v>1101</v>
      </c>
    </row>
    <row r="35">
      <c r="A35" s="138" t="n">
        <v>2019</v>
      </c>
      <c r="B35" s="138" t="inlineStr">
        <is>
          <t>male</t>
        </is>
      </c>
      <c r="C35" s="138" t="n">
        <v>65</v>
      </c>
      <c r="D35" s="138" t="n">
        <v>1219</v>
      </c>
    </row>
    <row r="36">
      <c r="A36" s="138" t="n">
        <v>2019</v>
      </c>
      <c r="B36" s="138" t="inlineStr">
        <is>
          <t>male</t>
        </is>
      </c>
      <c r="C36" s="138" t="n">
        <v>70</v>
      </c>
      <c r="D36" s="138" t="n">
        <v>1257</v>
      </c>
    </row>
    <row r="37">
      <c r="A37" s="138" t="n">
        <v>2019</v>
      </c>
      <c r="B37" s="138" t="inlineStr">
        <is>
          <t>male</t>
        </is>
      </c>
      <c r="C37" s="138" t="n">
        <v>75</v>
      </c>
      <c r="D37" s="138" t="n">
        <v>1482</v>
      </c>
    </row>
    <row r="38">
      <c r="A38" s="138" t="n">
        <v>2019</v>
      </c>
      <c r="B38" s="138" t="inlineStr">
        <is>
          <t>male</t>
        </is>
      </c>
      <c r="C38" s="138" t="n">
        <v>80</v>
      </c>
      <c r="D38" s="138" t="n">
        <v>1414</v>
      </c>
    </row>
    <row r="39">
      <c r="A39" s="138" t="n">
        <v>2019</v>
      </c>
      <c r="B39" s="138" t="inlineStr">
        <is>
          <t>male</t>
        </is>
      </c>
      <c r="C39" s="138" t="n">
        <v>85</v>
      </c>
      <c r="D39" s="138" t="n">
        <v>2200</v>
      </c>
    </row>
    <row r="78">
      <c r="A78" s="139" t="n">
        <v>2019</v>
      </c>
      <c r="B78" s="139" t="inlineStr">
        <is>
          <t>female</t>
        </is>
      </c>
      <c r="C78" s="139" t="n">
        <v>0</v>
      </c>
      <c r="D78" s="139" t="n">
        <v>674</v>
      </c>
    </row>
    <row r="79">
      <c r="A79" s="139" t="n">
        <v>2019</v>
      </c>
      <c r="B79" s="139" t="inlineStr">
        <is>
          <t>female</t>
        </is>
      </c>
      <c r="C79" s="139" t="n">
        <v>1</v>
      </c>
      <c r="D79" s="139" t="n">
        <v>229</v>
      </c>
    </row>
    <row r="80">
      <c r="A80" s="139" t="n">
        <v>2019</v>
      </c>
      <c r="B80" s="139" t="inlineStr">
        <is>
          <t>female</t>
        </is>
      </c>
      <c r="C80" s="139" t="n">
        <v>5</v>
      </c>
      <c r="D80" s="139" t="n">
        <v>87</v>
      </c>
    </row>
    <row r="81">
      <c r="A81" s="139" t="n">
        <v>2019</v>
      </c>
      <c r="B81" s="139" t="inlineStr">
        <is>
          <t>female</t>
        </is>
      </c>
      <c r="C81" s="139" t="n">
        <v>10</v>
      </c>
      <c r="D81" s="139" t="n">
        <v>93</v>
      </c>
    </row>
    <row r="82">
      <c r="A82" s="139" t="n">
        <v>2019</v>
      </c>
      <c r="B82" s="139" t="inlineStr">
        <is>
          <t>female</t>
        </is>
      </c>
      <c r="C82" s="139" t="n">
        <v>15</v>
      </c>
      <c r="D82" s="139" t="n">
        <v>137</v>
      </c>
    </row>
    <row r="83">
      <c r="A83" s="139" t="n">
        <v>2019</v>
      </c>
      <c r="B83" s="139" t="inlineStr">
        <is>
          <t>female</t>
        </is>
      </c>
      <c r="C83" s="139" t="n">
        <v>20</v>
      </c>
      <c r="D83" s="139" t="n">
        <v>153</v>
      </c>
    </row>
    <row r="84">
      <c r="A84" s="139" t="n">
        <v>2019</v>
      </c>
      <c r="B84" s="139" t="inlineStr">
        <is>
          <t>female</t>
        </is>
      </c>
      <c r="C84" s="139" t="n">
        <v>25</v>
      </c>
      <c r="D84" s="139" t="n">
        <v>184</v>
      </c>
    </row>
    <row r="85">
      <c r="A85" s="139" t="n">
        <v>2019</v>
      </c>
      <c r="B85" s="139" t="inlineStr">
        <is>
          <t>female</t>
        </is>
      </c>
      <c r="C85" s="139" t="n">
        <v>30</v>
      </c>
      <c r="D85" s="139" t="n">
        <v>221</v>
      </c>
    </row>
    <row r="86">
      <c r="A86" s="139" t="n">
        <v>2019</v>
      </c>
      <c r="B86" s="139" t="inlineStr">
        <is>
          <t>female</t>
        </is>
      </c>
      <c r="C86" s="139" t="n">
        <v>35</v>
      </c>
      <c r="D86" s="139" t="n">
        <v>298</v>
      </c>
    </row>
    <row r="87">
      <c r="A87" s="139" t="n">
        <v>2019</v>
      </c>
      <c r="B87" s="139" t="inlineStr">
        <is>
          <t>female</t>
        </is>
      </c>
      <c r="C87" s="139" t="n">
        <v>40</v>
      </c>
      <c r="D87" s="139" t="n">
        <v>374</v>
      </c>
    </row>
    <row r="88">
      <c r="A88" s="139" t="n">
        <v>2019</v>
      </c>
      <c r="B88" s="139" t="inlineStr">
        <is>
          <t>female</t>
        </is>
      </c>
      <c r="C88" s="139" t="n">
        <v>45</v>
      </c>
      <c r="D88" s="139" t="n">
        <v>538</v>
      </c>
    </row>
    <row r="89">
      <c r="A89" s="139" t="n">
        <v>2019</v>
      </c>
      <c r="B89" s="139" t="inlineStr">
        <is>
          <t>female</t>
        </is>
      </c>
      <c r="C89" s="139" t="n">
        <v>50</v>
      </c>
      <c r="D89" s="139" t="n">
        <v>671</v>
      </c>
    </row>
    <row r="90">
      <c r="A90" s="139" t="n">
        <v>2019</v>
      </c>
      <c r="B90" s="139" t="inlineStr">
        <is>
          <t>female</t>
        </is>
      </c>
      <c r="C90" s="139" t="n">
        <v>55</v>
      </c>
      <c r="D90" s="139" t="n">
        <v>934</v>
      </c>
    </row>
    <row r="91">
      <c r="A91" s="139" t="n">
        <v>2019</v>
      </c>
      <c r="B91" s="139" t="inlineStr">
        <is>
          <t>female</t>
        </is>
      </c>
      <c r="C91" s="139" t="n">
        <v>60</v>
      </c>
      <c r="D91" s="139" t="n">
        <v>1048</v>
      </c>
    </row>
    <row r="92">
      <c r="A92" s="139" t="n">
        <v>2019</v>
      </c>
      <c r="B92" s="139" t="inlineStr">
        <is>
          <t>female</t>
        </is>
      </c>
      <c r="C92" s="139" t="n">
        <v>65</v>
      </c>
      <c r="D92" s="139" t="n">
        <v>1072</v>
      </c>
    </row>
    <row r="93">
      <c r="A93" s="139" t="n">
        <v>2019</v>
      </c>
      <c r="B93" s="139" t="inlineStr">
        <is>
          <t>female</t>
        </is>
      </c>
      <c r="C93" s="139" t="n">
        <v>70</v>
      </c>
      <c r="D93" s="139" t="n">
        <v>1191</v>
      </c>
    </row>
    <row r="94">
      <c r="A94" s="139" t="n">
        <v>2019</v>
      </c>
      <c r="B94" s="139" t="inlineStr">
        <is>
          <t>female</t>
        </is>
      </c>
      <c r="C94" s="139" t="n">
        <v>75</v>
      </c>
      <c r="D94" s="139" t="n">
        <v>1448</v>
      </c>
    </row>
    <row r="95">
      <c r="A95" s="139" t="n">
        <v>2019</v>
      </c>
      <c r="B95" s="139" t="inlineStr">
        <is>
          <t>female</t>
        </is>
      </c>
      <c r="C95" s="139" t="n">
        <v>80</v>
      </c>
      <c r="D95" s="139" t="n">
        <v>1324</v>
      </c>
    </row>
    <row r="96">
      <c r="A96" s="139" t="n">
        <v>2019</v>
      </c>
      <c r="B96" s="139" t="inlineStr">
        <is>
          <t>female</t>
        </is>
      </c>
      <c r="C96" s="139" t="n">
        <v>85</v>
      </c>
      <c r="D96" s="139" t="n">
        <v>2252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01404747</dc:creator>
  <dcterms:created xmlns:dcterms="http://purl.org/dc/terms/" xmlns:xsi="http://www.w3.org/2001/XMLSchema-instance" xsi:type="dcterms:W3CDTF">2012-05-08T12:24:09Z</dcterms:created>
  <dcterms:modified xmlns:dcterms="http://purl.org/dc/terms/" xmlns:xsi="http://www.w3.org/2001/XMLSchema-instance" xsi:type="dcterms:W3CDTF">2026-06-06T05:38:43Z</dcterms:modified>
  <cp:lastModifiedBy>Víctor Sánchez Gayosso</cp:lastModifiedBy>
</cp:coreProperties>
</file>